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Sean Sweeney\Documents\DeCelle\"/>
    </mc:Choice>
  </mc:AlternateContent>
  <bookViews>
    <workbookView xWindow="0" yWindow="0" windowWidth="21600" windowHeight="10050" activeTab="2"/>
  </bookViews>
  <sheets>
    <sheet name="Registration" sheetId="2" r:id="rId1"/>
    <sheet name="Div Sorted Results" sheetId="11" r:id="rId2"/>
    <sheet name="Leg 1" sheetId="1" r:id="rId3"/>
    <sheet name="leg 2" sheetId="3" r:id="rId4"/>
    <sheet name="Leg 3" sheetId="4" r:id="rId5"/>
    <sheet name="Leg 4" sheetId="5" r:id="rId6"/>
    <sheet name="Leg 5" sheetId="6" r:id="rId7"/>
    <sheet name="Leg 6" sheetId="7" r:id="rId8"/>
    <sheet name="Leg 7" sheetId="8" r:id="rId9"/>
  </sheets>
  <externalReferences>
    <externalReference r:id="rId10"/>
  </externalReference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6" i="8" l="1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G5" i="7"/>
  <c r="D33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67" i="6"/>
  <c r="D66" i="6"/>
  <c r="D65" i="6"/>
  <c r="D64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E21" i="7"/>
  <c r="D6" i="6"/>
  <c r="D5" i="6"/>
  <c r="D4" i="6"/>
  <c r="D68" i="5"/>
  <c r="D66" i="5"/>
  <c r="D65" i="5"/>
  <c r="D65" i="4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68" i="4"/>
  <c r="D67" i="4"/>
  <c r="D66" i="4"/>
  <c r="D64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5" i="3"/>
  <c r="I14" i="3"/>
  <c r="I12" i="3"/>
  <c r="I11" i="3"/>
  <c r="I10" i="3"/>
  <c r="I9" i="3"/>
  <c r="I8" i="3"/>
  <c r="I7" i="3"/>
  <c r="I6" i="3"/>
  <c r="I5" i="3"/>
  <c r="I4" i="3"/>
  <c r="D4" i="1"/>
  <c r="D5" i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5" i="11"/>
  <c r="L67" i="3"/>
  <c r="J67" i="3"/>
  <c r="L66" i="3"/>
  <c r="J66" i="3"/>
  <c r="L65" i="3"/>
  <c r="J65" i="3"/>
  <c r="L64" i="3"/>
  <c r="J64" i="3"/>
  <c r="L63" i="3"/>
  <c r="J63" i="3"/>
  <c r="L62" i="3"/>
  <c r="J62" i="3"/>
  <c r="L61" i="3"/>
  <c r="J61" i="3"/>
  <c r="L60" i="3"/>
  <c r="J60" i="3"/>
  <c r="L59" i="3"/>
  <c r="J59" i="3"/>
  <c r="L58" i="3"/>
  <c r="J58" i="3"/>
  <c r="L57" i="3"/>
  <c r="J57" i="3"/>
  <c r="L56" i="3"/>
  <c r="J56" i="3"/>
  <c r="L55" i="3"/>
  <c r="J55" i="3"/>
  <c r="L54" i="3"/>
  <c r="J54" i="3"/>
  <c r="L53" i="3"/>
  <c r="J53" i="3"/>
  <c r="L52" i="3"/>
  <c r="J52" i="3"/>
  <c r="L51" i="3"/>
  <c r="J51" i="3"/>
  <c r="L50" i="3"/>
  <c r="J50" i="3"/>
  <c r="L49" i="3"/>
  <c r="J49" i="3"/>
  <c r="L48" i="3"/>
  <c r="J48" i="3"/>
  <c r="L47" i="3"/>
  <c r="J47" i="3"/>
  <c r="L46" i="3"/>
  <c r="J46" i="3"/>
  <c r="L45" i="3"/>
  <c r="J45" i="3"/>
  <c r="L44" i="3"/>
  <c r="J44" i="3"/>
  <c r="L43" i="3"/>
  <c r="J43" i="3"/>
  <c r="L42" i="3"/>
  <c r="J42" i="3"/>
  <c r="L41" i="3"/>
  <c r="J41" i="3"/>
  <c r="L40" i="3"/>
  <c r="J40" i="3"/>
  <c r="L39" i="3"/>
  <c r="J39" i="3"/>
  <c r="L38" i="3"/>
  <c r="J38" i="3"/>
  <c r="L37" i="3"/>
  <c r="J37" i="3"/>
  <c r="L36" i="3"/>
  <c r="J36" i="3"/>
  <c r="L35" i="3"/>
  <c r="J35" i="3"/>
  <c r="L34" i="3"/>
  <c r="J34" i="3"/>
  <c r="L33" i="3"/>
  <c r="J33" i="3"/>
  <c r="L32" i="3"/>
  <c r="J32" i="3"/>
  <c r="L31" i="3"/>
  <c r="J31" i="3"/>
  <c r="L30" i="3"/>
  <c r="J30" i="3"/>
  <c r="L29" i="3"/>
  <c r="J29" i="3"/>
  <c r="L28" i="3"/>
  <c r="J28" i="3"/>
  <c r="L27" i="3"/>
  <c r="J27" i="3"/>
  <c r="L26" i="3"/>
  <c r="J26" i="3"/>
  <c r="L25" i="3"/>
  <c r="J25" i="3"/>
  <c r="L24" i="3"/>
  <c r="J24" i="3"/>
  <c r="L23" i="3"/>
  <c r="J23" i="3"/>
  <c r="L22" i="3"/>
  <c r="J22" i="3"/>
  <c r="L21" i="3"/>
  <c r="J21" i="3"/>
  <c r="L20" i="3"/>
  <c r="J20" i="3"/>
  <c r="L19" i="3"/>
  <c r="J19" i="3"/>
  <c r="L18" i="3"/>
  <c r="J18" i="3"/>
  <c r="L17" i="3"/>
  <c r="J17" i="3"/>
  <c r="L16" i="3"/>
  <c r="J16" i="3"/>
  <c r="L15" i="3"/>
  <c r="J15" i="3"/>
  <c r="L14" i="3"/>
  <c r="J14" i="3"/>
  <c r="L13" i="3"/>
  <c r="J13" i="3"/>
  <c r="L12" i="3"/>
  <c r="J12" i="3"/>
  <c r="L11" i="3"/>
  <c r="J11" i="3"/>
  <c r="L10" i="3"/>
  <c r="J10" i="3"/>
  <c r="L9" i="3"/>
  <c r="J9" i="3"/>
  <c r="L8" i="3"/>
  <c r="J8" i="3"/>
  <c r="L7" i="3"/>
  <c r="J7" i="3"/>
  <c r="L6" i="3"/>
  <c r="J6" i="3"/>
  <c r="L5" i="3"/>
  <c r="J5" i="3"/>
  <c r="J4" i="3"/>
  <c r="D31" i="11"/>
  <c r="D67" i="11"/>
  <c r="D58" i="11"/>
  <c r="D57" i="11"/>
  <c r="D56" i="11"/>
  <c r="D48" i="11"/>
  <c r="D30" i="11"/>
  <c r="D29" i="11"/>
  <c r="D17" i="11"/>
  <c r="D66" i="11"/>
  <c r="D47" i="11"/>
  <c r="D13" i="11"/>
  <c r="D55" i="11"/>
  <c r="D54" i="11"/>
  <c r="D46" i="11"/>
  <c r="D24" i="11"/>
  <c r="D12" i="11"/>
  <c r="D18" i="11"/>
  <c r="D65" i="11"/>
  <c r="D45" i="11"/>
  <c r="D44" i="11"/>
  <c r="D53" i="11"/>
  <c r="D52" i="11"/>
  <c r="D28" i="11"/>
  <c r="D27" i="11"/>
  <c r="D26" i="11"/>
  <c r="D43" i="11"/>
  <c r="D42" i="11"/>
  <c r="D41" i="11"/>
  <c r="D16" i="11"/>
  <c r="D40" i="11"/>
  <c r="D64" i="11"/>
  <c r="D15" i="11"/>
  <c r="D39" i="11"/>
  <c r="D23" i="11"/>
  <c r="D51" i="11"/>
  <c r="D22" i="11"/>
  <c r="D50" i="11"/>
  <c r="D25" i="11"/>
  <c r="D38" i="11"/>
  <c r="D37" i="11"/>
  <c r="D36" i="11"/>
  <c r="D63" i="11"/>
  <c r="D35" i="11"/>
  <c r="D49" i="11"/>
  <c r="D21" i="11"/>
  <c r="D62" i="11"/>
  <c r="D11" i="11"/>
  <c r="D10" i="11"/>
  <c r="D34" i="11"/>
  <c r="D61" i="11"/>
  <c r="D60" i="11"/>
  <c r="D20" i="11"/>
  <c r="D59" i="11"/>
  <c r="D33" i="11"/>
  <c r="D32" i="11"/>
  <c r="D19" i="11"/>
  <c r="D9" i="11"/>
  <c r="D14" i="11"/>
  <c r="D8" i="11"/>
  <c r="D7" i="11"/>
  <c r="D6" i="11"/>
  <c r="D5" i="11"/>
  <c r="G30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4" i="8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4" i="7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4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4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4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4" i="3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15" i="1"/>
  <c r="F5" i="1"/>
  <c r="F6" i="1"/>
  <c r="F7" i="1"/>
  <c r="F8" i="1"/>
  <c r="F9" i="1"/>
  <c r="F10" i="1"/>
  <c r="F11" i="1"/>
  <c r="F12" i="1"/>
  <c r="F13" i="1"/>
  <c r="F14" i="1"/>
  <c r="F4" i="1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72" i="7"/>
  <c r="E71" i="7"/>
  <c r="E70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L4" i="3"/>
</calcChain>
</file>

<file path=xl/sharedStrings.xml><?xml version="1.0" encoding="utf-8"?>
<sst xmlns="http://schemas.openxmlformats.org/spreadsheetml/2006/main" count="175" uniqueCount="102">
  <si>
    <t>Div</t>
  </si>
  <si>
    <t>Div Place</t>
  </si>
  <si>
    <t>Leg Time</t>
  </si>
  <si>
    <t>2017 Tahoe Relay</t>
  </si>
  <si>
    <t>List</t>
  </si>
  <si>
    <t>2017 Relay Race</t>
  </si>
  <si>
    <t>Bib #</t>
  </si>
  <si>
    <t>Division</t>
  </si>
  <si>
    <t>Name</t>
  </si>
  <si>
    <t>Leg 6</t>
  </si>
  <si>
    <t>Leg 1</t>
  </si>
  <si>
    <t>Leg 2</t>
  </si>
  <si>
    <t>Leg 3</t>
  </si>
  <si>
    <t>Leg 4</t>
  </si>
  <si>
    <t>Leg 5</t>
  </si>
  <si>
    <t>Leg 7</t>
  </si>
  <si>
    <t>Total Time</t>
  </si>
  <si>
    <t>Place</t>
  </si>
  <si>
    <t>THAT'S FINE TRACK CLUB</t>
  </si>
  <si>
    <t>Lancer Punch</t>
  </si>
  <si>
    <t>OH Trail Blazers</t>
  </si>
  <si>
    <t>Rubicon Rumm Runners</t>
  </si>
  <si>
    <t>Moraga Distance Project</t>
  </si>
  <si>
    <t>Chiclosos</t>
  </si>
  <si>
    <t>West Valley Track Club B</t>
  </si>
  <si>
    <t>Run Like You Stole it</t>
  </si>
  <si>
    <t>West Valley TC Masters Men</t>
  </si>
  <si>
    <t>Original A Team</t>
  </si>
  <si>
    <t>Harey Tortugas</t>
  </si>
  <si>
    <t>Team Carpe Gluteus</t>
  </si>
  <si>
    <t>LMJS 60-70 Men</t>
  </si>
  <si>
    <t>Fresno High School - Girls</t>
  </si>
  <si>
    <t>The Sports Thing</t>
  </si>
  <si>
    <t>McNair High School</t>
  </si>
  <si>
    <t>Fresno High School - Boys</t>
  </si>
  <si>
    <t>McFarland Track Club 1</t>
  </si>
  <si>
    <t>McFarland Track Club 2</t>
  </si>
  <si>
    <t>South Tahoe High School</t>
  </si>
  <si>
    <t>KIEWIT</t>
  </si>
  <si>
    <t>Always Promise Never Deliver</t>
  </si>
  <si>
    <t>DNS</t>
  </si>
  <si>
    <t>Parlimnet of Owls</t>
  </si>
  <si>
    <t>Over Promise Under Deliver</t>
  </si>
  <si>
    <t xml:space="preserve">Browns Clowns - UPS 2 </t>
  </si>
  <si>
    <t>Brown Runners - UPS 1</t>
  </si>
  <si>
    <t>The KP Wandering Landlubbers</t>
  </si>
  <si>
    <t>The Last Will be First</t>
  </si>
  <si>
    <t>Shark Week</t>
  </si>
  <si>
    <t>Fly The Friendly Skies</t>
  </si>
  <si>
    <t>Jurassic Park</t>
  </si>
  <si>
    <t>Summer of Love</t>
  </si>
  <si>
    <t>Jock and Jills</t>
  </si>
  <si>
    <t>Hot Links</t>
  </si>
  <si>
    <t>No Passing</t>
  </si>
  <si>
    <t>Norcal Sheepdogs</t>
  </si>
  <si>
    <t>Last Hoorah</t>
  </si>
  <si>
    <t>We Trained at Sea Level</t>
  </si>
  <si>
    <t>South Coast Roadrunners</t>
  </si>
  <si>
    <t>Team Pink</t>
  </si>
  <si>
    <t>Midnigh Society</t>
  </si>
  <si>
    <t>Super Coopers</t>
  </si>
  <si>
    <t>That’s Fine Too - Electric Bugaloo</t>
  </si>
  <si>
    <t>Smok'n Oaks</t>
  </si>
  <si>
    <t>Wolf Pack</t>
  </si>
  <si>
    <t>SRA Elite</t>
  </si>
  <si>
    <t>Runners Anonymous</t>
  </si>
  <si>
    <t>LG Fools</t>
  </si>
  <si>
    <t>Raiders of the Lost Track</t>
  </si>
  <si>
    <t>West Valley Mixed</t>
  </si>
  <si>
    <t>I Saw A Bear</t>
  </si>
  <si>
    <t>Just Happy to Run</t>
  </si>
  <si>
    <t>Aggie Running Club</t>
  </si>
  <si>
    <t>Call me a Cab</t>
  </si>
  <si>
    <t>We are the Manongs/Manangs</t>
  </si>
  <si>
    <t>LMJS Tahoe Redondo</t>
  </si>
  <si>
    <t>LMJS What a Duck</t>
  </si>
  <si>
    <t>Impala Racing Team</t>
  </si>
  <si>
    <t>Go Blue WXC</t>
  </si>
  <si>
    <t>Fierce, Fabulous and 40</t>
  </si>
  <si>
    <t>Gold Rush</t>
  </si>
  <si>
    <t>West Valley TC Womens</t>
  </si>
  <si>
    <t>Team Hitchings</t>
  </si>
  <si>
    <t>Winos who Run</t>
  </si>
  <si>
    <t>Wolfpack Hurry up Ladies</t>
  </si>
  <si>
    <t>Super Seven</t>
  </si>
  <si>
    <t>DNF</t>
  </si>
  <si>
    <t>Samuel Louie</t>
  </si>
  <si>
    <t>West Valley TC</t>
  </si>
  <si>
    <t>Sunrise Lady Gang</t>
  </si>
  <si>
    <t>Pace</t>
  </si>
  <si>
    <t>9.6 miles</t>
  </si>
  <si>
    <t>9.5 miles</t>
  </si>
  <si>
    <t>10.7 Miles</t>
  </si>
  <si>
    <t>8.6 Miles</t>
  </si>
  <si>
    <t>11 Miles</t>
  </si>
  <si>
    <t>Sorted Results</t>
  </si>
  <si>
    <t>Overall Place</t>
  </si>
  <si>
    <t>Lake Tahoe Relay</t>
  </si>
  <si>
    <t>13.1 Miles</t>
  </si>
  <si>
    <t>Bibs 55 and 67 started at 5am</t>
  </si>
  <si>
    <t>Bib 66 started at 6am</t>
  </si>
  <si>
    <t>We missed timing on leg 1 for bibs 41 and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</si>
</sst>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21" fontId="0" fillId="0" borderId="0" xfId="0" applyNumberFormat="1"/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/>
    <xf numFmtId="0" fontId="1" fillId="0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y%20Race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Timing Sheets"/>
      <sheetName val="Leg 1"/>
      <sheetName val="leg 2"/>
      <sheetName val="Leg 3"/>
      <sheetName val="Leg 4"/>
      <sheetName val="Leg 5"/>
      <sheetName val="Leg 6"/>
      <sheetName val="Leg 7"/>
      <sheetName val="Sorted"/>
      <sheetName val="Results"/>
    </sheetNames>
    <sheetDataSet>
      <sheetData sheetId="0">
        <row r="3">
          <cell r="B3">
            <v>1</v>
          </cell>
          <cell r="C3">
            <v>1</v>
          </cell>
        </row>
        <row r="4">
          <cell r="B4">
            <v>2</v>
          </cell>
          <cell r="C4">
            <v>1</v>
          </cell>
        </row>
        <row r="5">
          <cell r="B5">
            <v>3</v>
          </cell>
          <cell r="C5">
            <v>1</v>
          </cell>
        </row>
        <row r="6">
          <cell r="B6">
            <v>4</v>
          </cell>
          <cell r="C6">
            <v>1</v>
          </cell>
        </row>
        <row r="7">
          <cell r="B7">
            <v>5</v>
          </cell>
          <cell r="C7">
            <v>1</v>
          </cell>
        </row>
        <row r="8">
          <cell r="B8">
            <v>6</v>
          </cell>
          <cell r="C8">
            <v>1</v>
          </cell>
        </row>
        <row r="9">
          <cell r="B9">
            <v>7</v>
          </cell>
          <cell r="C9">
            <v>1</v>
          </cell>
        </row>
        <row r="10">
          <cell r="B10">
            <v>8</v>
          </cell>
          <cell r="C10">
            <v>2</v>
          </cell>
        </row>
        <row r="11">
          <cell r="B11">
            <v>9</v>
          </cell>
          <cell r="C11">
            <v>2</v>
          </cell>
        </row>
        <row r="12">
          <cell r="B12">
            <v>10</v>
          </cell>
          <cell r="C12">
            <v>3</v>
          </cell>
        </row>
        <row r="13">
          <cell r="B13">
            <v>11</v>
          </cell>
          <cell r="C13">
            <v>3</v>
          </cell>
        </row>
        <row r="14">
          <cell r="B14">
            <v>12</v>
          </cell>
          <cell r="C14">
            <v>1</v>
          </cell>
        </row>
        <row r="15">
          <cell r="B15">
            <v>13</v>
          </cell>
          <cell r="C15">
            <v>4</v>
          </cell>
        </row>
        <row r="16">
          <cell r="B16">
            <v>14</v>
          </cell>
          <cell r="C16">
            <v>5</v>
          </cell>
        </row>
        <row r="17">
          <cell r="B17">
            <v>15</v>
          </cell>
          <cell r="C17">
            <v>6</v>
          </cell>
        </row>
        <row r="18">
          <cell r="B18">
            <v>16</v>
          </cell>
          <cell r="C18">
            <v>6</v>
          </cell>
        </row>
        <row r="19">
          <cell r="B19">
            <v>17</v>
          </cell>
          <cell r="C19">
            <v>6</v>
          </cell>
        </row>
        <row r="20">
          <cell r="B20">
            <v>18</v>
          </cell>
          <cell r="C20">
            <v>6</v>
          </cell>
        </row>
        <row r="21">
          <cell r="B21">
            <v>19</v>
          </cell>
          <cell r="C21">
            <v>6</v>
          </cell>
        </row>
        <row r="22">
          <cell r="B22">
            <v>20</v>
          </cell>
          <cell r="C22">
            <v>6</v>
          </cell>
        </row>
        <row r="23">
          <cell r="B23">
            <v>21</v>
          </cell>
          <cell r="C23">
            <v>7</v>
          </cell>
        </row>
        <row r="24">
          <cell r="B24">
            <v>22</v>
          </cell>
          <cell r="C24">
            <v>7</v>
          </cell>
        </row>
        <row r="25">
          <cell r="B25">
            <v>23</v>
          </cell>
          <cell r="C25">
            <v>7</v>
          </cell>
        </row>
        <row r="26">
          <cell r="B26">
            <v>24</v>
          </cell>
          <cell r="C26">
            <v>7</v>
          </cell>
        </row>
        <row r="27">
          <cell r="B27">
            <v>25</v>
          </cell>
          <cell r="C27">
            <v>7</v>
          </cell>
        </row>
        <row r="28">
          <cell r="B28">
            <v>26</v>
          </cell>
          <cell r="C28">
            <v>7</v>
          </cell>
        </row>
        <row r="29">
          <cell r="B29">
            <v>27</v>
          </cell>
          <cell r="C29">
            <v>7</v>
          </cell>
        </row>
        <row r="30">
          <cell r="B30">
            <v>28</v>
          </cell>
          <cell r="C30">
            <v>7</v>
          </cell>
        </row>
        <row r="31">
          <cell r="B31">
            <v>29</v>
          </cell>
          <cell r="C31">
            <v>8</v>
          </cell>
        </row>
        <row r="32">
          <cell r="B32">
            <v>30</v>
          </cell>
          <cell r="C32">
            <v>8</v>
          </cell>
        </row>
        <row r="33">
          <cell r="B33">
            <v>31</v>
          </cell>
          <cell r="C33">
            <v>8</v>
          </cell>
        </row>
        <row r="34">
          <cell r="B34">
            <v>32</v>
          </cell>
          <cell r="C34">
            <v>8</v>
          </cell>
        </row>
        <row r="35">
          <cell r="B35">
            <v>33</v>
          </cell>
          <cell r="C35">
            <v>8</v>
          </cell>
        </row>
        <row r="36">
          <cell r="B36">
            <v>34</v>
          </cell>
          <cell r="C36">
            <v>8</v>
          </cell>
        </row>
        <row r="37">
          <cell r="B37">
            <v>35</v>
          </cell>
          <cell r="C37">
            <v>8</v>
          </cell>
        </row>
        <row r="38">
          <cell r="B38">
            <v>36</v>
          </cell>
          <cell r="C38">
            <v>8</v>
          </cell>
        </row>
        <row r="39">
          <cell r="B39">
            <v>37</v>
          </cell>
          <cell r="C39">
            <v>8</v>
          </cell>
        </row>
        <row r="40">
          <cell r="B40">
            <v>38</v>
          </cell>
          <cell r="C40">
            <v>8</v>
          </cell>
        </row>
        <row r="41">
          <cell r="B41">
            <v>39</v>
          </cell>
          <cell r="C41">
            <v>8</v>
          </cell>
        </row>
        <row r="42">
          <cell r="B42">
            <v>40</v>
          </cell>
          <cell r="C42">
            <v>8</v>
          </cell>
        </row>
        <row r="43">
          <cell r="B43">
            <v>41</v>
          </cell>
          <cell r="C43">
            <v>8</v>
          </cell>
        </row>
        <row r="44">
          <cell r="B44">
            <v>42</v>
          </cell>
          <cell r="C44">
            <v>8</v>
          </cell>
        </row>
        <row r="45">
          <cell r="B45">
            <v>43</v>
          </cell>
          <cell r="C45">
            <v>8</v>
          </cell>
        </row>
        <row r="46">
          <cell r="B46">
            <v>44</v>
          </cell>
          <cell r="C46">
            <v>8</v>
          </cell>
        </row>
        <row r="47">
          <cell r="B47">
            <v>45</v>
          </cell>
          <cell r="C47">
            <v>8</v>
          </cell>
        </row>
        <row r="48">
          <cell r="B48">
            <v>46</v>
          </cell>
          <cell r="C48">
            <v>8</v>
          </cell>
        </row>
        <row r="49">
          <cell r="B49">
            <v>47</v>
          </cell>
          <cell r="C49">
            <v>8</v>
          </cell>
        </row>
        <row r="50">
          <cell r="B50">
            <v>48</v>
          </cell>
          <cell r="C50">
            <v>9</v>
          </cell>
        </row>
        <row r="51">
          <cell r="B51">
            <v>49</v>
          </cell>
          <cell r="C51">
            <v>9</v>
          </cell>
        </row>
        <row r="52">
          <cell r="B52">
            <v>50</v>
          </cell>
          <cell r="C52">
            <v>9</v>
          </cell>
        </row>
        <row r="53">
          <cell r="B53">
            <v>51</v>
          </cell>
          <cell r="C53">
            <v>9</v>
          </cell>
        </row>
        <row r="54">
          <cell r="B54">
            <v>52</v>
          </cell>
          <cell r="C54">
            <v>9</v>
          </cell>
        </row>
        <row r="55">
          <cell r="B55">
            <v>53</v>
          </cell>
          <cell r="C55">
            <v>9</v>
          </cell>
        </row>
        <row r="56">
          <cell r="B56">
            <v>54</v>
          </cell>
          <cell r="C56">
            <v>9</v>
          </cell>
        </row>
        <row r="57">
          <cell r="B57">
            <v>55</v>
          </cell>
          <cell r="C57">
            <v>9</v>
          </cell>
        </row>
        <row r="58">
          <cell r="B58">
            <v>56</v>
          </cell>
          <cell r="C58">
            <v>9</v>
          </cell>
        </row>
        <row r="59">
          <cell r="B59">
            <v>57</v>
          </cell>
          <cell r="C59">
            <v>9</v>
          </cell>
        </row>
        <row r="60">
          <cell r="B60">
            <v>58</v>
          </cell>
          <cell r="C60">
            <v>10</v>
          </cell>
        </row>
        <row r="61">
          <cell r="B61">
            <v>59</v>
          </cell>
          <cell r="C61">
            <v>10</v>
          </cell>
        </row>
        <row r="62">
          <cell r="B62">
            <v>60</v>
          </cell>
          <cell r="C62">
            <v>10</v>
          </cell>
        </row>
        <row r="63">
          <cell r="B63">
            <v>61</v>
          </cell>
          <cell r="C63">
            <v>10</v>
          </cell>
        </row>
        <row r="64">
          <cell r="B64">
            <v>62</v>
          </cell>
          <cell r="C64">
            <v>10</v>
          </cell>
        </row>
        <row r="65">
          <cell r="B65">
            <v>63</v>
          </cell>
          <cell r="C65">
            <v>10</v>
          </cell>
        </row>
        <row r="66">
          <cell r="B66">
            <v>64</v>
          </cell>
          <cell r="C66">
            <v>10</v>
          </cell>
        </row>
        <row r="67">
          <cell r="B67">
            <v>65</v>
          </cell>
          <cell r="C67">
            <v>10</v>
          </cell>
        </row>
        <row r="68">
          <cell r="B68">
            <v>66</v>
          </cell>
          <cell r="C68">
            <v>11</v>
          </cell>
        </row>
        <row r="69">
          <cell r="B69">
            <v>67</v>
          </cell>
          <cell r="C69">
            <v>12</v>
          </cell>
        </row>
        <row r="70">
          <cell r="B70">
            <v>68</v>
          </cell>
          <cell r="C70">
            <v>1</v>
          </cell>
        </row>
        <row r="71">
          <cell r="B71">
            <v>69</v>
          </cell>
          <cell r="C71">
            <v>10</v>
          </cell>
        </row>
        <row r="72">
          <cell r="B72"/>
          <cell r="C72"/>
        </row>
        <row r="73">
          <cell r="B73"/>
          <cell r="C73"/>
        </row>
        <row r="74">
          <cell r="B74"/>
          <cell r="C74"/>
        </row>
        <row r="75">
          <cell r="B75"/>
          <cell r="C75"/>
        </row>
        <row r="76">
          <cell r="B76"/>
          <cell r="C76"/>
        </row>
        <row r="77">
          <cell r="B77"/>
          <cell r="C7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>
      <selection activeCell="M62" sqref="M62"/>
    </sheetView>
  </sheetViews>
  <sheetFormatPr defaultColWidth="8.81640625" defaultRowHeight="14.5" x14ac:dyDescent="0.35"/>
  <cols>
    <col min="1" max="1" width="6.81640625" customWidth="1"/>
    <col min="2" max="2" width="6.453125" style="1" customWidth="1"/>
    <col min="3" max="3" width="8.453125" style="1" customWidth="1"/>
    <col min="4" max="4" width="30.81640625" customWidth="1"/>
  </cols>
  <sheetData>
    <row r="1" spans="1:5" ht="23.25" customHeight="1" x14ac:dyDescent="0.5">
      <c r="A1" s="7"/>
      <c r="B1" s="8" t="s">
        <v>5</v>
      </c>
    </row>
    <row r="2" spans="1:5" ht="24" customHeight="1" x14ac:dyDescent="0.35">
      <c r="A2" s="6" t="s">
        <v>4</v>
      </c>
      <c r="B2" s="6" t="s">
        <v>6</v>
      </c>
      <c r="C2" s="6" t="s">
        <v>7</v>
      </c>
      <c r="D2" s="6" t="s">
        <v>8</v>
      </c>
    </row>
    <row r="3" spans="1:5" x14ac:dyDescent="0.35">
      <c r="A3" s="2">
        <v>1</v>
      </c>
      <c r="B3" s="2">
        <v>1</v>
      </c>
      <c r="C3" s="2">
        <v>1</v>
      </c>
      <c r="D3" s="3" t="s">
        <v>18</v>
      </c>
    </row>
    <row r="4" spans="1:5" x14ac:dyDescent="0.35">
      <c r="A4" s="2">
        <v>2</v>
      </c>
      <c r="B4" s="2">
        <v>2</v>
      </c>
      <c r="C4" s="2">
        <v>1</v>
      </c>
      <c r="D4" s="3" t="s">
        <v>19</v>
      </c>
    </row>
    <row r="5" spans="1:5" x14ac:dyDescent="0.35">
      <c r="A5" s="2">
        <v>3</v>
      </c>
      <c r="B5" s="2">
        <v>3</v>
      </c>
      <c r="C5" s="2">
        <v>1</v>
      </c>
      <c r="D5" s="3" t="s">
        <v>20</v>
      </c>
    </row>
    <row r="6" spans="1:5" x14ac:dyDescent="0.35">
      <c r="A6" s="2">
        <v>4</v>
      </c>
      <c r="B6" s="2">
        <v>4</v>
      </c>
      <c r="C6" s="2">
        <v>1</v>
      </c>
      <c r="D6" s="3" t="s">
        <v>21</v>
      </c>
    </row>
    <row r="7" spans="1:5" x14ac:dyDescent="0.35">
      <c r="A7" s="2">
        <v>5</v>
      </c>
      <c r="B7" s="2">
        <v>5</v>
      </c>
      <c r="C7" s="2">
        <v>1</v>
      </c>
      <c r="D7" s="3" t="s">
        <v>22</v>
      </c>
    </row>
    <row r="8" spans="1:5" x14ac:dyDescent="0.35">
      <c r="A8" s="2">
        <v>6</v>
      </c>
      <c r="B8" s="2">
        <v>6</v>
      </c>
      <c r="C8" s="2">
        <v>1</v>
      </c>
      <c r="D8" s="3" t="s">
        <v>23</v>
      </c>
    </row>
    <row r="9" spans="1:5" x14ac:dyDescent="0.35">
      <c r="A9" s="2">
        <v>7</v>
      </c>
      <c r="B9" s="2">
        <v>7</v>
      </c>
      <c r="C9" s="2">
        <v>1</v>
      </c>
      <c r="D9" s="3" t="s">
        <v>24</v>
      </c>
    </row>
    <row r="10" spans="1:5" x14ac:dyDescent="0.35">
      <c r="A10" s="18">
        <v>8</v>
      </c>
      <c r="B10" s="18">
        <v>8</v>
      </c>
      <c r="C10" s="18">
        <v>2</v>
      </c>
      <c r="D10" s="19" t="s">
        <v>25</v>
      </c>
      <c r="E10" t="s">
        <v>40</v>
      </c>
    </row>
    <row r="11" spans="1:5" x14ac:dyDescent="0.35">
      <c r="A11" s="2">
        <v>9</v>
      </c>
      <c r="B11" s="2">
        <v>9</v>
      </c>
      <c r="C11" s="2">
        <v>2</v>
      </c>
      <c r="D11" s="3" t="s">
        <v>26</v>
      </c>
    </row>
    <row r="12" spans="1:5" x14ac:dyDescent="0.35">
      <c r="A12" s="2">
        <v>10</v>
      </c>
      <c r="B12" s="2">
        <v>10</v>
      </c>
      <c r="C12" s="2">
        <v>3</v>
      </c>
      <c r="D12" s="3" t="s">
        <v>27</v>
      </c>
    </row>
    <row r="13" spans="1:5" x14ac:dyDescent="0.35">
      <c r="A13" s="2">
        <v>11</v>
      </c>
      <c r="B13" s="2">
        <v>11</v>
      </c>
      <c r="C13" s="2">
        <v>3</v>
      </c>
      <c r="D13" s="3" t="s">
        <v>28</v>
      </c>
    </row>
    <row r="14" spans="1:5" x14ac:dyDescent="0.35">
      <c r="A14" s="2">
        <v>12</v>
      </c>
      <c r="B14" s="2">
        <v>12</v>
      </c>
      <c r="C14" s="2">
        <v>1</v>
      </c>
      <c r="D14" s="3" t="s">
        <v>29</v>
      </c>
    </row>
    <row r="15" spans="1:5" x14ac:dyDescent="0.35">
      <c r="A15" s="2">
        <v>13</v>
      </c>
      <c r="B15" s="2">
        <v>13</v>
      </c>
      <c r="C15" s="2">
        <v>4</v>
      </c>
      <c r="D15" s="3" t="s">
        <v>30</v>
      </c>
    </row>
    <row r="16" spans="1:5" x14ac:dyDescent="0.35">
      <c r="A16" s="2">
        <v>14</v>
      </c>
      <c r="B16" s="2">
        <v>14</v>
      </c>
      <c r="C16" s="2">
        <v>5</v>
      </c>
      <c r="D16" s="3" t="s">
        <v>31</v>
      </c>
    </row>
    <row r="17" spans="1:5" x14ac:dyDescent="0.35">
      <c r="A17" s="2">
        <v>15</v>
      </c>
      <c r="B17" s="2">
        <v>15</v>
      </c>
      <c r="C17" s="2">
        <v>6</v>
      </c>
      <c r="D17" s="3" t="s">
        <v>32</v>
      </c>
    </row>
    <row r="18" spans="1:5" x14ac:dyDescent="0.35">
      <c r="A18" s="2">
        <v>16</v>
      </c>
      <c r="B18" s="2">
        <v>16</v>
      </c>
      <c r="C18" s="2">
        <v>6</v>
      </c>
      <c r="D18" s="3" t="s">
        <v>33</v>
      </c>
    </row>
    <row r="19" spans="1:5" x14ac:dyDescent="0.35">
      <c r="A19" s="2">
        <v>17</v>
      </c>
      <c r="B19" s="2">
        <v>17</v>
      </c>
      <c r="C19" s="2">
        <v>6</v>
      </c>
      <c r="D19" s="3" t="s">
        <v>34</v>
      </c>
    </row>
    <row r="20" spans="1:5" x14ac:dyDescent="0.35">
      <c r="A20" s="2">
        <v>18</v>
      </c>
      <c r="B20" s="2">
        <v>18</v>
      </c>
      <c r="C20" s="2">
        <v>6</v>
      </c>
      <c r="D20" s="3" t="s">
        <v>35</v>
      </c>
    </row>
    <row r="21" spans="1:5" x14ac:dyDescent="0.35">
      <c r="A21" s="2">
        <v>19</v>
      </c>
      <c r="B21" s="2">
        <v>19</v>
      </c>
      <c r="C21" s="2">
        <v>6</v>
      </c>
      <c r="D21" s="3" t="s">
        <v>36</v>
      </c>
    </row>
    <row r="22" spans="1:5" x14ac:dyDescent="0.35">
      <c r="A22" s="2">
        <v>20</v>
      </c>
      <c r="B22" s="2">
        <v>20</v>
      </c>
      <c r="C22" s="2">
        <v>6</v>
      </c>
      <c r="D22" s="3" t="s">
        <v>37</v>
      </c>
    </row>
    <row r="23" spans="1:5" x14ac:dyDescent="0.35">
      <c r="A23" s="2">
        <v>21</v>
      </c>
      <c r="B23" s="2">
        <v>21</v>
      </c>
      <c r="C23" s="2">
        <v>7</v>
      </c>
      <c r="D23" s="3" t="s">
        <v>38</v>
      </c>
    </row>
    <row r="24" spans="1:5" x14ac:dyDescent="0.35">
      <c r="A24" s="2">
        <v>22</v>
      </c>
      <c r="B24" s="2">
        <v>22</v>
      </c>
      <c r="C24" s="2">
        <v>7</v>
      </c>
      <c r="D24" s="3" t="s">
        <v>44</v>
      </c>
    </row>
    <row r="25" spans="1:5" x14ac:dyDescent="0.35">
      <c r="A25" s="2">
        <v>23</v>
      </c>
      <c r="B25" s="2">
        <v>23</v>
      </c>
      <c r="C25" s="2">
        <v>7</v>
      </c>
      <c r="D25" s="3" t="s">
        <v>39</v>
      </c>
      <c r="E25" t="s">
        <v>85</v>
      </c>
    </row>
    <row r="26" spans="1:5" x14ac:dyDescent="0.35">
      <c r="A26" s="2">
        <v>24</v>
      </c>
      <c r="B26" s="2">
        <v>24</v>
      </c>
      <c r="C26" s="2">
        <v>7</v>
      </c>
      <c r="D26" s="3" t="s">
        <v>41</v>
      </c>
    </row>
    <row r="27" spans="1:5" x14ac:dyDescent="0.35">
      <c r="A27" s="2">
        <v>25</v>
      </c>
      <c r="B27" s="2">
        <v>25</v>
      </c>
      <c r="C27" s="2">
        <v>7</v>
      </c>
      <c r="D27" s="3" t="s">
        <v>42</v>
      </c>
    </row>
    <row r="28" spans="1:5" x14ac:dyDescent="0.35">
      <c r="A28" s="2">
        <v>26</v>
      </c>
      <c r="B28" s="2">
        <v>26</v>
      </c>
      <c r="C28" s="2">
        <v>7</v>
      </c>
      <c r="D28" s="3" t="s">
        <v>43</v>
      </c>
    </row>
    <row r="29" spans="1:5" x14ac:dyDescent="0.35">
      <c r="A29" s="2">
        <v>27</v>
      </c>
      <c r="B29" s="2">
        <v>27</v>
      </c>
      <c r="C29" s="2">
        <v>7</v>
      </c>
      <c r="D29" s="3" t="s">
        <v>45</v>
      </c>
    </row>
    <row r="30" spans="1:5" x14ac:dyDescent="0.35">
      <c r="A30" s="2">
        <v>28</v>
      </c>
      <c r="B30" s="2">
        <v>28</v>
      </c>
      <c r="C30" s="2">
        <v>7</v>
      </c>
      <c r="D30" s="3" t="s">
        <v>46</v>
      </c>
    </row>
    <row r="31" spans="1:5" x14ac:dyDescent="0.35">
      <c r="A31" s="2">
        <v>29</v>
      </c>
      <c r="B31" s="2">
        <v>29</v>
      </c>
      <c r="C31" s="2">
        <v>8</v>
      </c>
      <c r="D31" s="3" t="s">
        <v>47</v>
      </c>
    </row>
    <row r="32" spans="1:5" x14ac:dyDescent="0.35">
      <c r="A32" s="2">
        <v>30</v>
      </c>
      <c r="B32" s="2">
        <v>30</v>
      </c>
      <c r="C32" s="2">
        <v>8</v>
      </c>
      <c r="D32" s="3" t="s">
        <v>48</v>
      </c>
    </row>
    <row r="33" spans="1:5" x14ac:dyDescent="0.35">
      <c r="A33" s="2">
        <v>31</v>
      </c>
      <c r="B33" s="2">
        <v>31</v>
      </c>
      <c r="C33" s="2">
        <v>8</v>
      </c>
      <c r="D33" s="3" t="s">
        <v>49</v>
      </c>
    </row>
    <row r="34" spans="1:5" x14ac:dyDescent="0.35">
      <c r="A34" s="2">
        <v>32</v>
      </c>
      <c r="B34" s="2">
        <v>32</v>
      </c>
      <c r="C34" s="2">
        <v>8</v>
      </c>
      <c r="D34" s="3" t="s">
        <v>50</v>
      </c>
    </row>
    <row r="35" spans="1:5" x14ac:dyDescent="0.35">
      <c r="A35" s="2">
        <v>33</v>
      </c>
      <c r="B35" s="2">
        <v>33</v>
      </c>
      <c r="C35" s="2">
        <v>8</v>
      </c>
      <c r="D35" s="3" t="s">
        <v>51</v>
      </c>
    </row>
    <row r="36" spans="1:5" x14ac:dyDescent="0.35">
      <c r="A36" s="2">
        <v>34</v>
      </c>
      <c r="B36" s="2">
        <v>34</v>
      </c>
      <c r="C36" s="2">
        <v>8</v>
      </c>
      <c r="D36" s="3" t="s">
        <v>52</v>
      </c>
    </row>
    <row r="37" spans="1:5" x14ac:dyDescent="0.35">
      <c r="A37" s="18">
        <v>35</v>
      </c>
      <c r="B37" s="18">
        <v>35</v>
      </c>
      <c r="C37" s="18">
        <v>8</v>
      </c>
      <c r="D37" s="19" t="s">
        <v>53</v>
      </c>
      <c r="E37" t="s">
        <v>40</v>
      </c>
    </row>
    <row r="38" spans="1:5" x14ac:dyDescent="0.35">
      <c r="A38" s="2">
        <v>36</v>
      </c>
      <c r="B38" s="2">
        <v>36</v>
      </c>
      <c r="C38" s="2">
        <v>8</v>
      </c>
      <c r="D38" s="3" t="s">
        <v>54</v>
      </c>
    </row>
    <row r="39" spans="1:5" x14ac:dyDescent="0.35">
      <c r="A39" s="2">
        <v>37</v>
      </c>
      <c r="B39" s="2">
        <v>37</v>
      </c>
      <c r="C39" s="2">
        <v>8</v>
      </c>
      <c r="D39" s="3" t="s">
        <v>55</v>
      </c>
    </row>
    <row r="40" spans="1:5" x14ac:dyDescent="0.35">
      <c r="A40" s="2">
        <v>38</v>
      </c>
      <c r="B40" s="2">
        <v>38</v>
      </c>
      <c r="C40" s="2">
        <v>8</v>
      </c>
      <c r="D40" s="3" t="s">
        <v>56</v>
      </c>
    </row>
    <row r="41" spans="1:5" x14ac:dyDescent="0.35">
      <c r="A41" s="2">
        <v>39</v>
      </c>
      <c r="B41" s="2">
        <v>39</v>
      </c>
      <c r="C41" s="2">
        <v>8</v>
      </c>
      <c r="D41" s="3" t="s">
        <v>57</v>
      </c>
    </row>
    <row r="42" spans="1:5" x14ac:dyDescent="0.35">
      <c r="A42" s="2">
        <v>40</v>
      </c>
      <c r="B42" s="2">
        <v>40</v>
      </c>
      <c r="C42" s="2">
        <v>8</v>
      </c>
      <c r="D42" s="3" t="s">
        <v>58</v>
      </c>
    </row>
    <row r="43" spans="1:5" x14ac:dyDescent="0.35">
      <c r="A43" s="2">
        <v>41</v>
      </c>
      <c r="B43" s="2">
        <v>41</v>
      </c>
      <c r="C43" s="2">
        <v>8</v>
      </c>
      <c r="D43" s="3" t="s">
        <v>59</v>
      </c>
    </row>
    <row r="44" spans="1:5" x14ac:dyDescent="0.35">
      <c r="A44" s="18">
        <v>42</v>
      </c>
      <c r="B44" s="18">
        <v>42</v>
      </c>
      <c r="C44" s="18">
        <v>8</v>
      </c>
      <c r="D44" s="19" t="s">
        <v>60</v>
      </c>
      <c r="E44" t="s">
        <v>40</v>
      </c>
    </row>
    <row r="45" spans="1:5" x14ac:dyDescent="0.35">
      <c r="A45" s="2">
        <v>43</v>
      </c>
      <c r="B45" s="2">
        <v>43</v>
      </c>
      <c r="C45" s="2">
        <v>8</v>
      </c>
      <c r="D45" s="3" t="s">
        <v>61</v>
      </c>
    </row>
    <row r="46" spans="1:5" x14ac:dyDescent="0.35">
      <c r="A46" s="2">
        <v>44</v>
      </c>
      <c r="B46" s="2">
        <v>44</v>
      </c>
      <c r="C46" s="2">
        <v>8</v>
      </c>
      <c r="D46" s="3" t="s">
        <v>62</v>
      </c>
    </row>
    <row r="47" spans="1:5" x14ac:dyDescent="0.35">
      <c r="A47" s="2">
        <v>45</v>
      </c>
      <c r="B47" s="2">
        <v>45</v>
      </c>
      <c r="C47" s="2">
        <v>8</v>
      </c>
      <c r="D47" s="3" t="s">
        <v>68</v>
      </c>
    </row>
    <row r="48" spans="1:5" x14ac:dyDescent="0.35">
      <c r="A48" s="2">
        <v>46</v>
      </c>
      <c r="B48" s="2">
        <v>46</v>
      </c>
      <c r="C48" s="2">
        <v>8</v>
      </c>
      <c r="D48" s="3" t="s">
        <v>63</v>
      </c>
    </row>
    <row r="49" spans="1:4" x14ac:dyDescent="0.35">
      <c r="A49" s="2">
        <v>47</v>
      </c>
      <c r="B49" s="2">
        <v>47</v>
      </c>
      <c r="C49" s="2">
        <v>8</v>
      </c>
      <c r="D49" s="3" t="s">
        <v>64</v>
      </c>
    </row>
    <row r="50" spans="1:4" x14ac:dyDescent="0.35">
      <c r="A50" s="2">
        <v>48</v>
      </c>
      <c r="B50" s="2">
        <v>48</v>
      </c>
      <c r="C50" s="2">
        <v>9</v>
      </c>
      <c r="D50" s="3" t="s">
        <v>65</v>
      </c>
    </row>
    <row r="51" spans="1:4" x14ac:dyDescent="0.35">
      <c r="A51" s="2">
        <v>49</v>
      </c>
      <c r="B51" s="2">
        <v>49</v>
      </c>
      <c r="C51" s="2">
        <v>9</v>
      </c>
      <c r="D51" s="3" t="s">
        <v>66</v>
      </c>
    </row>
    <row r="52" spans="1:4" x14ac:dyDescent="0.35">
      <c r="A52" s="2">
        <v>50</v>
      </c>
      <c r="B52" s="2">
        <v>50</v>
      </c>
      <c r="C52" s="2">
        <v>9</v>
      </c>
      <c r="D52" s="3" t="s">
        <v>69</v>
      </c>
    </row>
    <row r="53" spans="1:4" x14ac:dyDescent="0.35">
      <c r="A53" s="2">
        <v>51</v>
      </c>
      <c r="B53" s="2">
        <v>51</v>
      </c>
      <c r="C53" s="2">
        <v>9</v>
      </c>
      <c r="D53" s="3" t="s">
        <v>67</v>
      </c>
    </row>
    <row r="54" spans="1:4" x14ac:dyDescent="0.35">
      <c r="A54" s="2">
        <v>52</v>
      </c>
      <c r="B54" s="2">
        <v>52</v>
      </c>
      <c r="C54" s="2">
        <v>9</v>
      </c>
      <c r="D54" s="3" t="s">
        <v>70</v>
      </c>
    </row>
    <row r="55" spans="1:4" x14ac:dyDescent="0.35">
      <c r="A55" s="2">
        <v>53</v>
      </c>
      <c r="B55" s="2">
        <v>53</v>
      </c>
      <c r="C55" s="2">
        <v>9</v>
      </c>
      <c r="D55" s="3" t="s">
        <v>71</v>
      </c>
    </row>
    <row r="56" spans="1:4" x14ac:dyDescent="0.35">
      <c r="A56" s="2">
        <v>54</v>
      </c>
      <c r="B56" s="2">
        <v>54</v>
      </c>
      <c r="C56" s="2">
        <v>9</v>
      </c>
      <c r="D56" s="3" t="s">
        <v>72</v>
      </c>
    </row>
    <row r="57" spans="1:4" x14ac:dyDescent="0.35">
      <c r="A57" s="2">
        <v>55</v>
      </c>
      <c r="B57" s="2">
        <v>55</v>
      </c>
      <c r="C57" s="2">
        <v>9</v>
      </c>
      <c r="D57" s="3" t="s">
        <v>73</v>
      </c>
    </row>
    <row r="58" spans="1:4" x14ac:dyDescent="0.35">
      <c r="A58" s="2">
        <v>56</v>
      </c>
      <c r="B58" s="2">
        <v>56</v>
      </c>
      <c r="C58" s="2">
        <v>9</v>
      </c>
      <c r="D58" s="3" t="s">
        <v>74</v>
      </c>
    </row>
    <row r="59" spans="1:4" x14ac:dyDescent="0.35">
      <c r="A59" s="2">
        <v>57</v>
      </c>
      <c r="B59" s="2">
        <v>57</v>
      </c>
      <c r="C59" s="2">
        <v>9</v>
      </c>
      <c r="D59" s="3" t="s">
        <v>75</v>
      </c>
    </row>
    <row r="60" spans="1:4" x14ac:dyDescent="0.35">
      <c r="A60" s="2">
        <v>58</v>
      </c>
      <c r="B60" s="2">
        <v>58</v>
      </c>
      <c r="C60" s="2">
        <v>10</v>
      </c>
      <c r="D60" s="3" t="s">
        <v>76</v>
      </c>
    </row>
    <row r="61" spans="1:4" x14ac:dyDescent="0.35">
      <c r="A61" s="2">
        <v>59</v>
      </c>
      <c r="B61" s="2">
        <v>59</v>
      </c>
      <c r="C61" s="2">
        <v>10</v>
      </c>
      <c r="D61" s="3" t="s">
        <v>77</v>
      </c>
    </row>
    <row r="62" spans="1:4" x14ac:dyDescent="0.35">
      <c r="A62" s="2">
        <v>60</v>
      </c>
      <c r="B62" s="2">
        <v>60</v>
      </c>
      <c r="C62" s="2">
        <v>10</v>
      </c>
      <c r="D62" s="3" t="s">
        <v>78</v>
      </c>
    </row>
    <row r="63" spans="1:4" x14ac:dyDescent="0.35">
      <c r="A63" s="2">
        <v>61</v>
      </c>
      <c r="B63" s="2">
        <v>61</v>
      </c>
      <c r="C63" s="2">
        <v>10</v>
      </c>
      <c r="D63" s="3" t="s">
        <v>79</v>
      </c>
    </row>
    <row r="64" spans="1:4" x14ac:dyDescent="0.35">
      <c r="A64" s="2">
        <v>62</v>
      </c>
      <c r="B64" s="2">
        <v>62</v>
      </c>
      <c r="C64" s="2">
        <v>10</v>
      </c>
      <c r="D64" s="3" t="s">
        <v>80</v>
      </c>
    </row>
    <row r="65" spans="1:5" x14ac:dyDescent="0.35">
      <c r="A65" s="2">
        <v>63</v>
      </c>
      <c r="B65" s="2">
        <v>63</v>
      </c>
      <c r="C65" s="2">
        <v>10</v>
      </c>
      <c r="D65" s="3" t="s">
        <v>81</v>
      </c>
    </row>
    <row r="66" spans="1:5" x14ac:dyDescent="0.35">
      <c r="A66" s="2">
        <v>64</v>
      </c>
      <c r="B66" s="2">
        <v>64</v>
      </c>
      <c r="C66" s="2">
        <v>10</v>
      </c>
      <c r="D66" s="3" t="s">
        <v>82</v>
      </c>
    </row>
    <row r="67" spans="1:5" x14ac:dyDescent="0.35">
      <c r="A67" s="2">
        <v>65</v>
      </c>
      <c r="B67" s="2">
        <v>65</v>
      </c>
      <c r="C67" s="2">
        <v>10</v>
      </c>
      <c r="D67" s="3" t="s">
        <v>83</v>
      </c>
    </row>
    <row r="68" spans="1:5" x14ac:dyDescent="0.35">
      <c r="A68" s="2">
        <v>66</v>
      </c>
      <c r="B68" s="2">
        <v>66</v>
      </c>
      <c r="C68" s="2">
        <v>11</v>
      </c>
      <c r="D68" s="3" t="s">
        <v>84</v>
      </c>
      <c r="E68" t="s">
        <v>85</v>
      </c>
    </row>
    <row r="69" spans="1:5" x14ac:dyDescent="0.35">
      <c r="A69" s="2">
        <v>67</v>
      </c>
      <c r="B69" s="2">
        <v>67</v>
      </c>
      <c r="C69" s="2">
        <v>12</v>
      </c>
      <c r="D69" s="3" t="s">
        <v>86</v>
      </c>
    </row>
    <row r="70" spans="1:5" x14ac:dyDescent="0.35">
      <c r="A70" s="2">
        <v>68</v>
      </c>
      <c r="B70" s="2">
        <v>68</v>
      </c>
      <c r="C70" s="2">
        <v>1</v>
      </c>
      <c r="D70" s="3" t="s">
        <v>87</v>
      </c>
    </row>
    <row r="71" spans="1:5" x14ac:dyDescent="0.35">
      <c r="A71" s="2">
        <v>69</v>
      </c>
      <c r="B71" s="2">
        <v>69</v>
      </c>
      <c r="C71" s="2">
        <v>10</v>
      </c>
      <c r="D71" s="3" t="s">
        <v>88</v>
      </c>
    </row>
    <row r="72" spans="1:5" x14ac:dyDescent="0.35">
      <c r="A72" s="2">
        <v>70</v>
      </c>
      <c r="B72" s="2"/>
      <c r="C72" s="2"/>
      <c r="D72" s="3"/>
    </row>
    <row r="73" spans="1:5" x14ac:dyDescent="0.35">
      <c r="A73" s="2">
        <v>71</v>
      </c>
      <c r="B73" s="2"/>
      <c r="C73" s="2"/>
      <c r="D73" s="3"/>
    </row>
    <row r="74" spans="1:5" x14ac:dyDescent="0.35">
      <c r="A74" s="2">
        <v>72</v>
      </c>
      <c r="B74" s="2"/>
      <c r="C74" s="2"/>
      <c r="D74" s="3"/>
    </row>
    <row r="75" spans="1:5" x14ac:dyDescent="0.35">
      <c r="A75" s="2">
        <v>73</v>
      </c>
      <c r="B75" s="2"/>
      <c r="C75" s="2"/>
      <c r="D75" s="3"/>
    </row>
    <row r="76" spans="1:5" x14ac:dyDescent="0.35">
      <c r="A76" s="2">
        <v>74</v>
      </c>
      <c r="B76" s="2"/>
      <c r="C76" s="2"/>
      <c r="D76" s="3"/>
    </row>
    <row r="77" spans="1:5" x14ac:dyDescent="0.35">
      <c r="A77" s="2">
        <v>75</v>
      </c>
      <c r="B77" s="2"/>
      <c r="C77" s="2"/>
      <c r="D7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opLeftCell="A49" workbookViewId="0">
      <selection activeCell="D78" sqref="D78"/>
    </sheetView>
  </sheetViews>
  <sheetFormatPr defaultColWidth="10.81640625" defaultRowHeight="14.5" x14ac:dyDescent="0.35"/>
  <cols>
    <col min="1" max="1" width="6.36328125" customWidth="1"/>
    <col min="2" max="2" width="6.81640625" style="1" customWidth="1"/>
    <col min="4" max="4" width="6.1796875" customWidth="1"/>
    <col min="5" max="5" width="6.6328125" customWidth="1"/>
    <col min="6" max="6" width="10.81640625" style="1"/>
  </cols>
  <sheetData>
    <row r="1" spans="1:6" ht="15.5" x14ac:dyDescent="0.35">
      <c r="A1" s="4" t="s">
        <v>95</v>
      </c>
    </row>
    <row r="2" spans="1:6" ht="32" customHeight="1" x14ac:dyDescent="0.45">
      <c r="B2" s="30" t="s">
        <v>3</v>
      </c>
      <c r="C2" s="28"/>
      <c r="D2" s="21"/>
      <c r="E2" s="5"/>
    </row>
    <row r="3" spans="1:6" ht="18.5" x14ac:dyDescent="0.45">
      <c r="B3" s="30"/>
      <c r="C3" s="28"/>
      <c r="D3" s="21"/>
      <c r="E3" s="5"/>
    </row>
    <row r="4" spans="1:6" ht="31" x14ac:dyDescent="0.35">
      <c r="A4" s="31" t="s">
        <v>96</v>
      </c>
      <c r="B4" s="11" t="s">
        <v>6</v>
      </c>
      <c r="C4" s="32" t="s">
        <v>16</v>
      </c>
      <c r="D4" s="11" t="s">
        <v>0</v>
      </c>
      <c r="E4" s="11" t="s">
        <v>1</v>
      </c>
      <c r="F4" s="36" t="s">
        <v>89</v>
      </c>
    </row>
    <row r="5" spans="1:6" x14ac:dyDescent="0.35">
      <c r="A5" s="1">
        <v>1</v>
      </c>
      <c r="B5" s="1">
        <v>1</v>
      </c>
      <c r="C5" s="29">
        <v>0.28646990740740741</v>
      </c>
      <c r="D5" s="1">
        <f>VLOOKUP(B5,Registration!$B$3:$C$77,2,FALSE)</f>
        <v>1</v>
      </c>
      <c r="E5" s="1">
        <v>1</v>
      </c>
      <c r="F5" s="29">
        <f>C5/72</f>
        <v>3.9787487139917692E-3</v>
      </c>
    </row>
    <row r="6" spans="1:6" x14ac:dyDescent="0.35">
      <c r="A6" s="1">
        <v>2</v>
      </c>
      <c r="B6" s="1">
        <v>68</v>
      </c>
      <c r="C6" s="29">
        <v>0.28778935185185184</v>
      </c>
      <c r="D6" s="1">
        <f>VLOOKUP(B6,Registration!$B$3:$C$77,2,FALSE)</f>
        <v>1</v>
      </c>
      <c r="E6" s="1">
        <v>2</v>
      </c>
      <c r="F6" s="29">
        <f t="shared" ref="F6:F67" si="0">C6/72</f>
        <v>3.9970743312757202E-3</v>
      </c>
    </row>
    <row r="7" spans="1:6" x14ac:dyDescent="0.35">
      <c r="A7" s="1">
        <v>3</v>
      </c>
      <c r="B7" s="1">
        <v>7</v>
      </c>
      <c r="C7" s="29">
        <v>0.30519675925925926</v>
      </c>
      <c r="D7" s="1">
        <f>VLOOKUP(B7,Registration!$B$3:$C$77,2,FALSE)</f>
        <v>1</v>
      </c>
      <c r="E7" s="1">
        <v>3</v>
      </c>
      <c r="F7" s="29">
        <f t="shared" si="0"/>
        <v>4.2388438786008231E-3</v>
      </c>
    </row>
    <row r="8" spans="1:6" x14ac:dyDescent="0.35">
      <c r="A8" s="34">
        <v>4</v>
      </c>
      <c r="B8" s="34">
        <v>5</v>
      </c>
      <c r="C8" s="29">
        <v>0.31356481481481485</v>
      </c>
      <c r="D8" s="1">
        <f>VLOOKUP(B8,Registration!$B$3:$C$77,2,FALSE)</f>
        <v>1</v>
      </c>
      <c r="E8" s="1">
        <v>4</v>
      </c>
      <c r="F8" s="29">
        <f t="shared" si="0"/>
        <v>4.3550668724279843E-3</v>
      </c>
    </row>
    <row r="9" spans="1:6" x14ac:dyDescent="0.35">
      <c r="A9" s="1">
        <v>5</v>
      </c>
      <c r="B9" s="1">
        <v>9</v>
      </c>
      <c r="C9" s="29">
        <v>0.31668981481481479</v>
      </c>
      <c r="D9" s="1">
        <f>VLOOKUP(B9,Registration!$B$3:$C$77,2,FALSE)</f>
        <v>2</v>
      </c>
      <c r="E9" s="1">
        <v>1</v>
      </c>
      <c r="F9" s="29">
        <f t="shared" si="0"/>
        <v>4.3984696502057611E-3</v>
      </c>
    </row>
    <row r="10" spans="1:6" x14ac:dyDescent="0.35">
      <c r="A10" s="1">
        <v>6</v>
      </c>
      <c r="B10" s="1">
        <v>2</v>
      </c>
      <c r="C10" s="29">
        <v>0.31797453703703704</v>
      </c>
      <c r="D10" s="1">
        <f>VLOOKUP(B10,Registration!$B$3:$C$77,2,FALSE)</f>
        <v>1</v>
      </c>
      <c r="E10" s="1">
        <v>5</v>
      </c>
      <c r="F10" s="29">
        <f t="shared" si="0"/>
        <v>4.4163130144032926E-3</v>
      </c>
    </row>
    <row r="11" spans="1:6" x14ac:dyDescent="0.35">
      <c r="A11" s="1">
        <v>7</v>
      </c>
      <c r="B11" s="1">
        <v>18</v>
      </c>
      <c r="C11" s="29">
        <v>0.33782407407407411</v>
      </c>
      <c r="D11" s="1">
        <f>VLOOKUP(B11,Registration!$B$3:$C$77,2,FALSE)</f>
        <v>6</v>
      </c>
      <c r="E11" s="1">
        <v>1</v>
      </c>
      <c r="F11" s="29">
        <f t="shared" si="0"/>
        <v>4.6920010288065851E-3</v>
      </c>
    </row>
    <row r="12" spans="1:6" x14ac:dyDescent="0.35">
      <c r="A12" s="1">
        <v>8</v>
      </c>
      <c r="B12" s="1">
        <v>47</v>
      </c>
      <c r="C12" s="29">
        <v>0.33837962962962959</v>
      </c>
      <c r="D12" s="1">
        <f>VLOOKUP(B12,Registration!$B$3:$C$77,2,FALSE)</f>
        <v>8</v>
      </c>
      <c r="E12" s="1">
        <v>1</v>
      </c>
      <c r="F12" s="29">
        <f t="shared" si="0"/>
        <v>4.6997170781892996E-3</v>
      </c>
    </row>
    <row r="13" spans="1:6" x14ac:dyDescent="0.35">
      <c r="A13" s="1">
        <v>9</v>
      </c>
      <c r="B13" s="1">
        <v>43</v>
      </c>
      <c r="C13" s="29">
        <v>0.35443287037037036</v>
      </c>
      <c r="D13" s="1">
        <f>VLOOKUP(B13,Registration!$B$3:$C$77,2,FALSE)</f>
        <v>8</v>
      </c>
      <c r="E13" s="1">
        <v>2</v>
      </c>
      <c r="F13" s="29">
        <f t="shared" si="0"/>
        <v>4.922678755144033E-3</v>
      </c>
    </row>
    <row r="14" spans="1:6" x14ac:dyDescent="0.35">
      <c r="A14" s="1">
        <v>10</v>
      </c>
      <c r="B14" s="1">
        <v>59</v>
      </c>
      <c r="C14" s="29">
        <v>0.35488425925925932</v>
      </c>
      <c r="D14" s="1">
        <f>VLOOKUP(B14,Registration!$B$3:$C$77,2,FALSE)</f>
        <v>10</v>
      </c>
      <c r="E14" s="1">
        <v>1</v>
      </c>
      <c r="F14" s="29">
        <f t="shared" si="0"/>
        <v>4.9289480452674901E-3</v>
      </c>
    </row>
    <row r="15" spans="1:6" x14ac:dyDescent="0.35">
      <c r="A15" s="1">
        <v>11</v>
      </c>
      <c r="B15" s="1">
        <v>17</v>
      </c>
      <c r="C15" s="29">
        <v>0.35825231481481484</v>
      </c>
      <c r="D15" s="1">
        <f>VLOOKUP(B15,Registration!$B$3:$C$77,2,FALSE)</f>
        <v>6</v>
      </c>
      <c r="E15" s="1">
        <v>2</v>
      </c>
      <c r="F15" s="29">
        <f t="shared" si="0"/>
        <v>4.9757265946502064E-3</v>
      </c>
    </row>
    <row r="16" spans="1:6" x14ac:dyDescent="0.35">
      <c r="A16" s="1">
        <v>12</v>
      </c>
      <c r="B16" s="1">
        <v>58</v>
      </c>
      <c r="C16" s="29">
        <v>0.35827546296296298</v>
      </c>
      <c r="D16" s="1">
        <f>VLOOKUP(B16,Registration!$B$3:$C$77,2,FALSE)</f>
        <v>10</v>
      </c>
      <c r="E16" s="1">
        <v>2</v>
      </c>
      <c r="F16" s="29">
        <f t="shared" si="0"/>
        <v>4.9760480967078191E-3</v>
      </c>
    </row>
    <row r="17" spans="1:6" x14ac:dyDescent="0.35">
      <c r="A17" s="1">
        <v>13</v>
      </c>
      <c r="B17" s="1">
        <v>63</v>
      </c>
      <c r="C17" s="29">
        <v>0.36045138888888889</v>
      </c>
      <c r="D17" s="1">
        <f>VLOOKUP(B17,Registration!$B$3:$C$77,2,FALSE)</f>
        <v>10</v>
      </c>
      <c r="E17" s="1">
        <v>3</v>
      </c>
      <c r="F17" s="29">
        <f t="shared" si="0"/>
        <v>5.0062692901234572E-3</v>
      </c>
    </row>
    <row r="18" spans="1:6" x14ac:dyDescent="0.35">
      <c r="A18" s="1">
        <v>14</v>
      </c>
      <c r="B18" s="1">
        <v>45</v>
      </c>
      <c r="C18" s="29">
        <v>0.36180555555555555</v>
      </c>
      <c r="D18" s="1">
        <f>VLOOKUP(B18,Registration!$B$3:$C$77,2,FALSE)</f>
        <v>8</v>
      </c>
      <c r="E18" s="1">
        <v>3</v>
      </c>
      <c r="F18" s="29">
        <f t="shared" si="0"/>
        <v>5.0250771604938268E-3</v>
      </c>
    </row>
    <row r="19" spans="1:6" x14ac:dyDescent="0.35">
      <c r="A19" s="1">
        <v>15</v>
      </c>
      <c r="B19" s="1">
        <v>4</v>
      </c>
      <c r="C19" s="29">
        <v>0.36331018518518521</v>
      </c>
      <c r="D19" s="1">
        <f>VLOOKUP(B19,Registration!$B$3:$C$77,2,FALSE)</f>
        <v>1</v>
      </c>
      <c r="E19" s="1">
        <v>6</v>
      </c>
      <c r="F19" s="29">
        <f t="shared" si="0"/>
        <v>5.0459747942386834E-3</v>
      </c>
    </row>
    <row r="20" spans="1:6" x14ac:dyDescent="0.35">
      <c r="A20" s="1">
        <v>16</v>
      </c>
      <c r="B20" s="1">
        <v>6</v>
      </c>
      <c r="C20" s="29">
        <v>0.36965277777777777</v>
      </c>
      <c r="D20" s="1">
        <f>VLOOKUP(B20,Registration!$B$3:$C$77,2,FALSE)</f>
        <v>1</v>
      </c>
      <c r="E20" s="1">
        <v>7</v>
      </c>
      <c r="F20" s="29">
        <f t="shared" si="0"/>
        <v>5.1340663580246911E-3</v>
      </c>
    </row>
    <row r="21" spans="1:6" x14ac:dyDescent="0.35">
      <c r="A21" s="1">
        <v>17</v>
      </c>
      <c r="B21" s="1">
        <v>62</v>
      </c>
      <c r="C21" s="29">
        <v>0.37041666666666667</v>
      </c>
      <c r="D21" s="1">
        <f>VLOOKUP(B21,Registration!$B$3:$C$77,2,FALSE)</f>
        <v>10</v>
      </c>
      <c r="E21" s="1">
        <v>4</v>
      </c>
      <c r="F21" s="29">
        <f t="shared" si="0"/>
        <v>5.1446759259259258E-3</v>
      </c>
    </row>
    <row r="22" spans="1:6" x14ac:dyDescent="0.35">
      <c r="A22" s="1">
        <v>18</v>
      </c>
      <c r="B22" s="1">
        <v>15</v>
      </c>
      <c r="C22" s="29">
        <v>0.37049768518518517</v>
      </c>
      <c r="D22" s="1">
        <f>VLOOKUP(B22,Registration!$B$3:$C$77,2,FALSE)</f>
        <v>6</v>
      </c>
      <c r="E22" s="1">
        <v>3</v>
      </c>
      <c r="F22" s="29">
        <f t="shared" si="0"/>
        <v>5.1458011831275715E-3</v>
      </c>
    </row>
    <row r="23" spans="1:6" x14ac:dyDescent="0.35">
      <c r="A23" s="1">
        <v>19</v>
      </c>
      <c r="B23" s="1">
        <v>53</v>
      </c>
      <c r="C23" s="29">
        <v>0.37594907407407407</v>
      </c>
      <c r="D23" s="1">
        <f>VLOOKUP(B23,Registration!$B$3:$C$77,2,FALSE)</f>
        <v>9</v>
      </c>
      <c r="E23" s="1">
        <v>1</v>
      </c>
      <c r="F23" s="29">
        <f t="shared" si="0"/>
        <v>5.2215149176954734E-3</v>
      </c>
    </row>
    <row r="24" spans="1:6" x14ac:dyDescent="0.35">
      <c r="A24" s="1">
        <v>20</v>
      </c>
      <c r="B24" s="1">
        <v>34</v>
      </c>
      <c r="C24" s="29">
        <v>0.38576388888888885</v>
      </c>
      <c r="D24" s="1">
        <f>VLOOKUP(B24,Registration!$B$3:$C$77,2,FALSE)</f>
        <v>8</v>
      </c>
      <c r="E24" s="1">
        <v>4</v>
      </c>
      <c r="F24" s="29">
        <f t="shared" si="0"/>
        <v>5.3578317901234566E-3</v>
      </c>
    </row>
    <row r="25" spans="1:6" x14ac:dyDescent="0.35">
      <c r="A25" s="1">
        <v>21</v>
      </c>
      <c r="B25" s="1">
        <v>65</v>
      </c>
      <c r="C25" s="29">
        <v>0.39054398148148151</v>
      </c>
      <c r="D25" s="1">
        <f>VLOOKUP(B25,Registration!$B$3:$C$77,2,FALSE)</f>
        <v>10</v>
      </c>
      <c r="E25" s="1">
        <v>5</v>
      </c>
      <c r="F25" s="29">
        <f t="shared" si="0"/>
        <v>5.4242219650205764E-3</v>
      </c>
    </row>
    <row r="26" spans="1:6" x14ac:dyDescent="0.35">
      <c r="A26" s="1">
        <v>22</v>
      </c>
      <c r="B26" s="1">
        <v>46</v>
      </c>
      <c r="C26" s="29">
        <v>0.39159722222222221</v>
      </c>
      <c r="D26" s="1">
        <f>VLOOKUP(B26,Registration!$B$3:$C$77,2,FALSE)</f>
        <v>8</v>
      </c>
      <c r="E26" s="1">
        <v>5</v>
      </c>
      <c r="F26" s="29">
        <f t="shared" si="0"/>
        <v>5.4388503086419751E-3</v>
      </c>
    </row>
    <row r="27" spans="1:6" x14ac:dyDescent="0.35">
      <c r="A27" s="1">
        <v>23</v>
      </c>
      <c r="B27" s="1">
        <v>44</v>
      </c>
      <c r="C27" s="29">
        <v>0.3967013888888889</v>
      </c>
      <c r="D27" s="1">
        <f>VLOOKUP(B27,Registration!$B$3:$C$77,2,FALSE)</f>
        <v>8</v>
      </c>
      <c r="E27" s="1">
        <v>6</v>
      </c>
      <c r="F27" s="29">
        <f t="shared" si="0"/>
        <v>5.5097415123456792E-3</v>
      </c>
    </row>
    <row r="28" spans="1:6" x14ac:dyDescent="0.35">
      <c r="A28" s="1">
        <v>24</v>
      </c>
      <c r="B28" s="1">
        <v>30</v>
      </c>
      <c r="C28" s="29">
        <v>0.40129629629629626</v>
      </c>
      <c r="D28" s="1">
        <f>VLOOKUP(B28,Registration!$B$3:$C$77,2,FALSE)</f>
        <v>8</v>
      </c>
      <c r="E28" s="1">
        <v>7</v>
      </c>
      <c r="F28" s="29">
        <f t="shared" si="0"/>
        <v>5.5735596707818923E-3</v>
      </c>
    </row>
    <row r="29" spans="1:6" x14ac:dyDescent="0.35">
      <c r="A29" s="1">
        <v>25</v>
      </c>
      <c r="B29" s="1">
        <v>22</v>
      </c>
      <c r="C29" s="29">
        <v>0.4031481481481482</v>
      </c>
      <c r="D29" s="1">
        <f>VLOOKUP(B29,Registration!$B$3:$C$77,2,FALSE)</f>
        <v>7</v>
      </c>
      <c r="E29" s="1">
        <v>1</v>
      </c>
      <c r="F29" s="29">
        <f t="shared" si="0"/>
        <v>5.5992798353909469E-3</v>
      </c>
    </row>
    <row r="30" spans="1:6" x14ac:dyDescent="0.35">
      <c r="A30" s="1">
        <v>26</v>
      </c>
      <c r="B30" s="1">
        <v>56</v>
      </c>
      <c r="C30" s="29">
        <v>0.40400462962962963</v>
      </c>
      <c r="D30" s="1">
        <f>VLOOKUP(B30,Registration!$B$3:$C$77,2,FALSE)</f>
        <v>9</v>
      </c>
      <c r="E30" s="1">
        <v>2</v>
      </c>
      <c r="F30" s="29">
        <f t="shared" si="0"/>
        <v>5.611175411522634E-3</v>
      </c>
    </row>
    <row r="31" spans="1:6" x14ac:dyDescent="0.35">
      <c r="A31" s="1">
        <v>27</v>
      </c>
      <c r="B31" s="1">
        <v>20</v>
      </c>
      <c r="C31" s="29">
        <v>0.40712962962962962</v>
      </c>
      <c r="D31" s="1">
        <f>VLOOKUP(B31,Registration!$B$3:$C$77,2,FALSE)</f>
        <v>6</v>
      </c>
      <c r="E31" s="1">
        <v>4</v>
      </c>
      <c r="F31" s="29">
        <f t="shared" si="0"/>
        <v>5.6545781893004117E-3</v>
      </c>
    </row>
    <row r="32" spans="1:6" x14ac:dyDescent="0.35">
      <c r="A32" s="1">
        <v>28</v>
      </c>
      <c r="B32" s="1">
        <v>57</v>
      </c>
      <c r="C32" s="29">
        <v>0.40879629629629632</v>
      </c>
      <c r="D32" s="1">
        <f>VLOOKUP(B32,Registration!$B$3:$C$77,2,FALSE)</f>
        <v>9</v>
      </c>
      <c r="E32" s="1">
        <v>3</v>
      </c>
      <c r="F32" s="29">
        <f t="shared" si="0"/>
        <v>5.6777263374485597E-3</v>
      </c>
    </row>
    <row r="33" spans="1:6" x14ac:dyDescent="0.35">
      <c r="A33" s="1">
        <v>29</v>
      </c>
      <c r="B33" s="1">
        <v>19</v>
      </c>
      <c r="C33" s="29">
        <v>0.41076388888888887</v>
      </c>
      <c r="D33" s="1">
        <f>VLOOKUP(B33,Registration!$B$3:$C$77,2,FALSE)</f>
        <v>6</v>
      </c>
      <c r="E33" s="1">
        <v>5</v>
      </c>
      <c r="F33" s="29">
        <f t="shared" si="0"/>
        <v>5.7050540123456785E-3</v>
      </c>
    </row>
    <row r="34" spans="1:6" x14ac:dyDescent="0.35">
      <c r="A34" s="1">
        <v>30</v>
      </c>
      <c r="B34" s="1">
        <v>29</v>
      </c>
      <c r="C34" s="29">
        <v>0.41094907407407405</v>
      </c>
      <c r="D34" s="1">
        <f>VLOOKUP(B34,Registration!$B$3:$C$77,2,FALSE)</f>
        <v>8</v>
      </c>
      <c r="E34" s="1">
        <v>8</v>
      </c>
      <c r="F34" s="29">
        <f t="shared" si="0"/>
        <v>5.7076260288065842E-3</v>
      </c>
    </row>
    <row r="35" spans="1:6" x14ac:dyDescent="0.35">
      <c r="A35" s="1">
        <v>31</v>
      </c>
      <c r="B35" s="1">
        <v>11</v>
      </c>
      <c r="C35" s="29">
        <v>0.41202546296296294</v>
      </c>
      <c r="D35" s="1">
        <f>VLOOKUP(B35,Registration!$B$3:$C$77,2,FALSE)</f>
        <v>3</v>
      </c>
      <c r="E35" s="1">
        <v>1</v>
      </c>
      <c r="F35" s="29">
        <f t="shared" si="0"/>
        <v>5.7225758744855965E-3</v>
      </c>
    </row>
    <row r="36" spans="1:6" x14ac:dyDescent="0.35">
      <c r="A36" s="1">
        <v>32</v>
      </c>
      <c r="B36" s="1">
        <v>61</v>
      </c>
      <c r="C36" s="29">
        <v>0.41304398148148147</v>
      </c>
      <c r="D36" s="1">
        <f>VLOOKUP(B36,Registration!$B$3:$C$77,2,FALSE)</f>
        <v>10</v>
      </c>
      <c r="E36" s="1">
        <v>6</v>
      </c>
      <c r="F36" s="29">
        <f t="shared" si="0"/>
        <v>5.7367219650205758E-3</v>
      </c>
    </row>
    <row r="37" spans="1:6" x14ac:dyDescent="0.35">
      <c r="A37" s="1">
        <v>33</v>
      </c>
      <c r="B37" s="1">
        <v>41</v>
      </c>
      <c r="C37" s="29">
        <v>0.41309027777777779</v>
      </c>
      <c r="D37" s="1">
        <f>VLOOKUP(B37,Registration!$B$3:$C$77,2,FALSE)</f>
        <v>8</v>
      </c>
      <c r="E37" s="1">
        <v>8</v>
      </c>
      <c r="F37" s="29">
        <f t="shared" si="0"/>
        <v>5.7373649691358029E-3</v>
      </c>
    </row>
    <row r="38" spans="1:6" x14ac:dyDescent="0.35">
      <c r="A38" s="1">
        <v>34</v>
      </c>
      <c r="B38" s="1">
        <v>10</v>
      </c>
      <c r="C38" s="29">
        <v>0.41763888888888889</v>
      </c>
      <c r="D38" s="1">
        <f>VLOOKUP(B38,Registration!$B$3:$C$77,2,FALSE)</f>
        <v>3</v>
      </c>
      <c r="E38" s="1">
        <v>2</v>
      </c>
      <c r="F38" s="29">
        <f t="shared" si="0"/>
        <v>5.8005401234567898E-3</v>
      </c>
    </row>
    <row r="39" spans="1:6" x14ac:dyDescent="0.35">
      <c r="A39" s="1">
        <v>35</v>
      </c>
      <c r="B39" s="1">
        <v>32</v>
      </c>
      <c r="C39" s="29">
        <v>0.41978009259259258</v>
      </c>
      <c r="D39" s="1">
        <f>VLOOKUP(B39,Registration!$B$3:$C$77,2,FALSE)</f>
        <v>8</v>
      </c>
      <c r="E39" s="1">
        <v>9</v>
      </c>
      <c r="F39" s="29">
        <f t="shared" si="0"/>
        <v>5.8302790637860084E-3</v>
      </c>
    </row>
    <row r="40" spans="1:6" x14ac:dyDescent="0.35">
      <c r="A40" s="1">
        <v>36</v>
      </c>
      <c r="B40" s="1">
        <v>31</v>
      </c>
      <c r="C40" s="29">
        <v>0.4244560185185185</v>
      </c>
      <c r="D40" s="1">
        <f>VLOOKUP(B40,Registration!$B$3:$C$77,2,FALSE)</f>
        <v>8</v>
      </c>
      <c r="E40" s="1">
        <v>10</v>
      </c>
      <c r="F40" s="29">
        <f t="shared" si="0"/>
        <v>5.8952224794238681E-3</v>
      </c>
    </row>
    <row r="41" spans="1:6" x14ac:dyDescent="0.35">
      <c r="A41" s="1">
        <v>37</v>
      </c>
      <c r="B41" s="1">
        <v>33</v>
      </c>
      <c r="C41" s="29">
        <v>0.4255902777777778</v>
      </c>
      <c r="D41" s="1">
        <f>VLOOKUP(B41,Registration!$B$3:$C$77,2,FALSE)</f>
        <v>8</v>
      </c>
      <c r="E41" s="1">
        <v>11</v>
      </c>
      <c r="F41" s="29">
        <f t="shared" si="0"/>
        <v>5.9109760802469142E-3</v>
      </c>
    </row>
    <row r="42" spans="1:6" x14ac:dyDescent="0.35">
      <c r="A42" s="1">
        <v>38</v>
      </c>
      <c r="B42" s="1">
        <v>25</v>
      </c>
      <c r="C42" s="29">
        <v>0.42826388888888883</v>
      </c>
      <c r="D42" s="1">
        <f>VLOOKUP(B42,Registration!$B$3:$C$77,2,FALSE)</f>
        <v>7</v>
      </c>
      <c r="E42" s="1">
        <v>2</v>
      </c>
      <c r="F42" s="29">
        <f t="shared" si="0"/>
        <v>5.9481095679012339E-3</v>
      </c>
    </row>
    <row r="43" spans="1:6" x14ac:dyDescent="0.35">
      <c r="A43" s="1">
        <v>39</v>
      </c>
      <c r="B43" s="1">
        <v>24</v>
      </c>
      <c r="C43" s="29">
        <v>0.43027777777777776</v>
      </c>
      <c r="D43" s="1">
        <f>VLOOKUP(B43,Registration!$B$3:$C$77,2,FALSE)</f>
        <v>7</v>
      </c>
      <c r="E43" s="1">
        <v>3</v>
      </c>
      <c r="F43" s="29">
        <f t="shared" si="0"/>
        <v>5.9760802469135798E-3</v>
      </c>
    </row>
    <row r="44" spans="1:6" x14ac:dyDescent="0.35">
      <c r="A44" s="1">
        <v>40</v>
      </c>
      <c r="B44" s="1">
        <v>21</v>
      </c>
      <c r="C44" s="29">
        <v>0.44035879629629626</v>
      </c>
      <c r="D44" s="1">
        <f>VLOOKUP(B44,Registration!$B$3:$C$77,2,FALSE)</f>
        <v>7</v>
      </c>
      <c r="E44" s="1">
        <v>4</v>
      </c>
      <c r="F44" s="29">
        <f t="shared" si="0"/>
        <v>6.1160943930041144E-3</v>
      </c>
    </row>
    <row r="45" spans="1:6" x14ac:dyDescent="0.35">
      <c r="A45" s="1">
        <v>41</v>
      </c>
      <c r="B45" s="1">
        <v>49</v>
      </c>
      <c r="C45" s="29">
        <v>0.44037037037037036</v>
      </c>
      <c r="D45" s="1">
        <f>VLOOKUP(B45,Registration!$B$3:$C$77,2,FALSE)</f>
        <v>9</v>
      </c>
      <c r="E45" s="1">
        <v>4</v>
      </c>
      <c r="F45" s="29">
        <f t="shared" si="0"/>
        <v>6.116255144032922E-3</v>
      </c>
    </row>
    <row r="46" spans="1:6" x14ac:dyDescent="0.35">
      <c r="A46" s="1">
        <v>42</v>
      </c>
      <c r="B46" s="1">
        <v>48</v>
      </c>
      <c r="C46" s="29">
        <v>0.45280092592592597</v>
      </c>
      <c r="D46" s="1">
        <f>VLOOKUP(B46,Registration!$B$3:$C$77,2,FALSE)</f>
        <v>9</v>
      </c>
      <c r="E46" s="1">
        <v>5</v>
      </c>
      <c r="F46" s="29">
        <f t="shared" si="0"/>
        <v>6.2889017489711936E-3</v>
      </c>
    </row>
    <row r="47" spans="1:6" x14ac:dyDescent="0.35">
      <c r="A47" s="1">
        <v>43</v>
      </c>
      <c r="B47" s="1">
        <v>37</v>
      </c>
      <c r="C47" s="29">
        <v>0.46009259259259255</v>
      </c>
      <c r="D47" s="1">
        <f>VLOOKUP(B47,Registration!$B$3:$C$77,2,FALSE)</f>
        <v>8</v>
      </c>
      <c r="E47" s="1">
        <v>12</v>
      </c>
      <c r="F47" s="29">
        <f t="shared" si="0"/>
        <v>6.3901748971193408E-3</v>
      </c>
    </row>
    <row r="48" spans="1:6" x14ac:dyDescent="0.35">
      <c r="A48" s="1">
        <v>44</v>
      </c>
      <c r="B48" s="1">
        <v>39</v>
      </c>
      <c r="C48" s="29">
        <v>0.46085648148148151</v>
      </c>
      <c r="D48" s="1">
        <f>VLOOKUP(B48,Registration!$B$3:$C$77,2,FALSE)</f>
        <v>8</v>
      </c>
      <c r="E48" s="1">
        <v>13</v>
      </c>
      <c r="F48" s="29">
        <f t="shared" si="0"/>
        <v>6.4007844650205764E-3</v>
      </c>
    </row>
    <row r="49" spans="1:6" x14ac:dyDescent="0.35">
      <c r="A49" s="1">
        <v>45</v>
      </c>
      <c r="B49" s="1">
        <v>64</v>
      </c>
      <c r="C49" s="29">
        <v>0.46800925925925929</v>
      </c>
      <c r="D49" s="1">
        <f>VLOOKUP(B49,Registration!$B$3:$C$77,2,FALSE)</f>
        <v>10</v>
      </c>
      <c r="E49" s="1">
        <v>7</v>
      </c>
      <c r="F49" s="29">
        <f t="shared" si="0"/>
        <v>6.5001286008230458E-3</v>
      </c>
    </row>
    <row r="50" spans="1:6" x14ac:dyDescent="0.35">
      <c r="A50" s="1">
        <v>46</v>
      </c>
      <c r="B50" s="1">
        <v>14</v>
      </c>
      <c r="C50" s="29">
        <v>0.46803240740740742</v>
      </c>
      <c r="D50" s="1">
        <f>VLOOKUP(B50,Registration!$B$3:$C$77,2,FALSE)</f>
        <v>5</v>
      </c>
      <c r="E50" s="1">
        <v>1</v>
      </c>
      <c r="F50" s="29">
        <f t="shared" si="0"/>
        <v>6.5004501028806585E-3</v>
      </c>
    </row>
    <row r="51" spans="1:6" x14ac:dyDescent="0.35">
      <c r="A51" s="1">
        <v>47</v>
      </c>
      <c r="B51" s="1">
        <v>3</v>
      </c>
      <c r="C51" s="29">
        <v>0.47332175925925929</v>
      </c>
      <c r="D51" s="1">
        <f>VLOOKUP(B51,Registration!$B$3:$C$77,2,FALSE)</f>
        <v>1</v>
      </c>
      <c r="E51" s="1">
        <v>8</v>
      </c>
      <c r="F51" s="29">
        <f t="shared" si="0"/>
        <v>6.5739133230452683E-3</v>
      </c>
    </row>
    <row r="52" spans="1:6" x14ac:dyDescent="0.35">
      <c r="A52" s="1">
        <v>48</v>
      </c>
      <c r="B52" s="1">
        <v>16</v>
      </c>
      <c r="C52" s="29">
        <v>0.47489583333333335</v>
      </c>
      <c r="D52" s="1">
        <f>VLOOKUP(B52,Registration!$B$3:$C$77,2,FALSE)</f>
        <v>6</v>
      </c>
      <c r="E52" s="1">
        <v>6</v>
      </c>
      <c r="F52" s="29">
        <f t="shared" si="0"/>
        <v>6.595775462962963E-3</v>
      </c>
    </row>
    <row r="53" spans="1:6" x14ac:dyDescent="0.35">
      <c r="A53" s="1">
        <v>49</v>
      </c>
      <c r="B53" s="1">
        <v>40</v>
      </c>
      <c r="C53" s="29">
        <v>0.47667824074074078</v>
      </c>
      <c r="D53" s="1">
        <f>VLOOKUP(B53,Registration!$B$3:$C$77,2,FALSE)</f>
        <v>8</v>
      </c>
      <c r="E53" s="1">
        <v>12</v>
      </c>
      <c r="F53" s="29">
        <f t="shared" si="0"/>
        <v>6.6205311213991778E-3</v>
      </c>
    </row>
    <row r="54" spans="1:6" x14ac:dyDescent="0.35">
      <c r="A54" s="1">
        <v>50</v>
      </c>
      <c r="B54" s="1">
        <v>50</v>
      </c>
      <c r="C54" s="29">
        <v>0.47820601851851857</v>
      </c>
      <c r="D54" s="1">
        <f>VLOOKUP(B54,Registration!$B$3:$C$77,2,FALSE)</f>
        <v>9</v>
      </c>
      <c r="E54" s="1">
        <v>6</v>
      </c>
      <c r="F54" s="29">
        <f t="shared" si="0"/>
        <v>6.6417502572016472E-3</v>
      </c>
    </row>
    <row r="55" spans="1:6" x14ac:dyDescent="0.35">
      <c r="A55" s="1">
        <v>51</v>
      </c>
      <c r="B55" s="1">
        <v>51</v>
      </c>
      <c r="C55" s="29">
        <v>0.47828703703703707</v>
      </c>
      <c r="D55" s="1">
        <f>VLOOKUP(B55,Registration!$B$3:$C$77,2,FALSE)</f>
        <v>9</v>
      </c>
      <c r="E55" s="1">
        <v>7</v>
      </c>
      <c r="F55" s="29">
        <f t="shared" si="0"/>
        <v>6.6428755144032929E-3</v>
      </c>
    </row>
    <row r="56" spans="1:6" x14ac:dyDescent="0.35">
      <c r="A56" s="1">
        <v>52</v>
      </c>
      <c r="B56" s="1">
        <v>12</v>
      </c>
      <c r="C56" s="29">
        <v>0.48598379629629629</v>
      </c>
      <c r="D56" s="1">
        <f>VLOOKUP(B56,Registration!$B$3:$C$77,2,FALSE)</f>
        <v>1</v>
      </c>
      <c r="E56" s="1">
        <v>8</v>
      </c>
      <c r="F56" s="29">
        <f t="shared" si="0"/>
        <v>6.749774948559671E-3</v>
      </c>
    </row>
    <row r="57" spans="1:6" x14ac:dyDescent="0.35">
      <c r="A57" s="1">
        <v>53</v>
      </c>
      <c r="B57" s="1">
        <v>36</v>
      </c>
      <c r="C57" s="29">
        <v>0.48765046296296299</v>
      </c>
      <c r="D57" s="1">
        <f>VLOOKUP(B57,Registration!$B$3:$C$77,2,FALSE)</f>
        <v>8</v>
      </c>
      <c r="E57" s="1">
        <v>9</v>
      </c>
      <c r="F57" s="29">
        <f t="shared" si="0"/>
        <v>6.772923096707819E-3</v>
      </c>
    </row>
    <row r="58" spans="1:6" x14ac:dyDescent="0.35">
      <c r="A58" s="1">
        <v>54</v>
      </c>
      <c r="B58" s="1">
        <v>60</v>
      </c>
      <c r="C58" s="29">
        <v>0.49201388888888892</v>
      </c>
      <c r="D58" s="1">
        <f>VLOOKUP(B58,Registration!$B$3:$C$77,2,FALSE)</f>
        <v>10</v>
      </c>
      <c r="E58" s="1">
        <v>8</v>
      </c>
      <c r="F58" s="29">
        <f t="shared" si="0"/>
        <v>6.8335262345679019E-3</v>
      </c>
    </row>
    <row r="59" spans="1:6" x14ac:dyDescent="0.35">
      <c r="A59" s="1">
        <v>55</v>
      </c>
      <c r="B59" s="1">
        <v>13</v>
      </c>
      <c r="C59" s="29">
        <v>0.50749999999999995</v>
      </c>
      <c r="D59" s="1">
        <f>VLOOKUP(B59,Registration!$B$3:$C$77,2,FALSE)</f>
        <v>4</v>
      </c>
      <c r="E59" s="1">
        <v>1</v>
      </c>
      <c r="F59" s="29">
        <f t="shared" si="0"/>
        <v>7.0486111111111105E-3</v>
      </c>
    </row>
    <row r="60" spans="1:6" x14ac:dyDescent="0.35">
      <c r="A60" s="1">
        <v>56</v>
      </c>
      <c r="B60" s="1">
        <v>27</v>
      </c>
      <c r="C60" s="29">
        <v>0.50769675925925928</v>
      </c>
      <c r="D60" s="1">
        <f>VLOOKUP(B60,Registration!$B$3:$C$77,2,FALSE)</f>
        <v>7</v>
      </c>
      <c r="E60" s="1">
        <v>5</v>
      </c>
      <c r="F60" s="29">
        <f t="shared" si="0"/>
        <v>7.051343878600823E-3</v>
      </c>
    </row>
    <row r="61" spans="1:6" x14ac:dyDescent="0.35">
      <c r="A61" s="1">
        <v>57</v>
      </c>
      <c r="B61" s="1">
        <v>28</v>
      </c>
      <c r="C61" s="29">
        <v>0.50876157407407407</v>
      </c>
      <c r="D61" s="1">
        <f>VLOOKUP(B61,Registration!$B$3:$C$77,2,FALSE)</f>
        <v>7</v>
      </c>
      <c r="E61" s="1">
        <v>6</v>
      </c>
      <c r="F61" s="29">
        <f t="shared" si="0"/>
        <v>7.0661329732510285E-3</v>
      </c>
    </row>
    <row r="62" spans="1:6" x14ac:dyDescent="0.35">
      <c r="A62" s="1">
        <v>58</v>
      </c>
      <c r="B62" s="1">
        <v>38</v>
      </c>
      <c r="C62" s="29">
        <v>0.51682870370370371</v>
      </c>
      <c r="D62" s="1">
        <f>VLOOKUP(B62,Registration!$B$3:$C$77,2,FALSE)</f>
        <v>8</v>
      </c>
      <c r="E62" s="1">
        <v>4</v>
      </c>
      <c r="F62" s="29">
        <f t="shared" si="0"/>
        <v>7.1781764403292181E-3</v>
      </c>
    </row>
    <row r="63" spans="1:6" x14ac:dyDescent="0.35">
      <c r="A63" s="1">
        <v>59</v>
      </c>
      <c r="B63" s="1">
        <v>52</v>
      </c>
      <c r="C63" s="29">
        <v>0.51820601851851855</v>
      </c>
      <c r="D63" s="1">
        <f>VLOOKUP(B63,Registration!$B$3:$C$77,2,FALSE)</f>
        <v>9</v>
      </c>
      <c r="E63" s="1">
        <v>5</v>
      </c>
      <c r="F63" s="29">
        <f t="shared" si="0"/>
        <v>7.197305812757202E-3</v>
      </c>
    </row>
    <row r="64" spans="1:6" x14ac:dyDescent="0.35">
      <c r="A64" s="1">
        <v>60</v>
      </c>
      <c r="B64" s="1">
        <v>54</v>
      </c>
      <c r="C64" s="29">
        <v>0.51894675925925926</v>
      </c>
      <c r="D64" s="1">
        <f>VLOOKUP(B64,Registration!$B$3:$C$77,2,FALSE)</f>
        <v>9</v>
      </c>
      <c r="E64" s="1">
        <v>6</v>
      </c>
      <c r="F64" s="29">
        <f t="shared" si="0"/>
        <v>7.2075938786008232E-3</v>
      </c>
    </row>
    <row r="65" spans="1:6" x14ac:dyDescent="0.35">
      <c r="A65" s="1">
        <v>61</v>
      </c>
      <c r="B65" s="1">
        <v>55</v>
      </c>
      <c r="C65" s="29">
        <v>0.53637731481481488</v>
      </c>
      <c r="D65" s="1">
        <f>VLOOKUP(B65,Registration!$B$3:$C$77,2,FALSE)</f>
        <v>9</v>
      </c>
      <c r="E65" s="1">
        <v>7</v>
      </c>
      <c r="F65" s="29">
        <f t="shared" si="0"/>
        <v>7.4496849279835397E-3</v>
      </c>
    </row>
    <row r="66" spans="1:6" x14ac:dyDescent="0.35">
      <c r="A66" s="1">
        <v>62</v>
      </c>
      <c r="B66" s="1">
        <v>69</v>
      </c>
      <c r="C66" s="29">
        <v>0.54068287037037044</v>
      </c>
      <c r="D66" s="1">
        <f>VLOOKUP(B66,Registration!$B$3:$C$77,2,FALSE)</f>
        <v>10</v>
      </c>
      <c r="E66" s="1">
        <v>8</v>
      </c>
      <c r="F66" s="29">
        <f t="shared" si="0"/>
        <v>7.5094843106995896E-3</v>
      </c>
    </row>
    <row r="67" spans="1:6" x14ac:dyDescent="0.35">
      <c r="A67" s="1">
        <v>63</v>
      </c>
      <c r="B67" s="1">
        <v>26</v>
      </c>
      <c r="C67" s="29">
        <v>0.55287037037037035</v>
      </c>
      <c r="D67" s="1">
        <f>VLOOKUP(B67,Registration!$B$3:$C$77,2,FALSE)</f>
        <v>7</v>
      </c>
      <c r="E67" s="1">
        <v>8</v>
      </c>
      <c r="F67" s="29">
        <f t="shared" si="0"/>
        <v>7.6787551440329217E-3</v>
      </c>
    </row>
    <row r="68" spans="1:6" x14ac:dyDescent="0.35">
      <c r="F68" s="29"/>
    </row>
    <row r="69" spans="1:6" x14ac:dyDescent="0.35">
      <c r="A69" s="1">
        <v>23</v>
      </c>
      <c r="C69" t="s">
        <v>85</v>
      </c>
      <c r="F69" s="29"/>
    </row>
    <row r="70" spans="1:6" x14ac:dyDescent="0.35">
      <c r="A70" s="1">
        <v>66</v>
      </c>
      <c r="C70" t="s">
        <v>85</v>
      </c>
      <c r="F70" s="29"/>
    </row>
    <row r="71" spans="1:6" x14ac:dyDescent="0.35">
      <c r="A71" s="1">
        <v>67</v>
      </c>
      <c r="C71" t="s">
        <v>85</v>
      </c>
      <c r="F71" s="29"/>
    </row>
    <row r="72" spans="1:6" x14ac:dyDescent="0.35">
      <c r="F72" s="29"/>
    </row>
    <row r="73" spans="1:6" x14ac:dyDescent="0.35">
      <c r="F73" s="29"/>
    </row>
    <row r="74" spans="1:6" x14ac:dyDescent="0.35">
      <c r="F74" s="29"/>
    </row>
  </sheetData>
  <sortState ref="A5:C67">
    <sortCondition ref="A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>
      <selection activeCell="K56" sqref="K56"/>
    </sheetView>
  </sheetViews>
  <sheetFormatPr defaultColWidth="8.81640625" defaultRowHeight="14.5" x14ac:dyDescent="0.35"/>
  <cols>
    <col min="1" max="1" width="6.453125" style="1" customWidth="1"/>
    <col min="2" max="2" width="5.81640625" customWidth="1"/>
    <col min="3" max="3" width="11.453125" style="16" bestFit="1" customWidth="1"/>
    <col min="4" max="4" width="7" style="1" customWidth="1"/>
    <col min="5" max="5" width="8.81640625" style="1"/>
  </cols>
  <sheetData>
    <row r="1" spans="1:6" ht="18.5" x14ac:dyDescent="0.45">
      <c r="A1" s="17" t="s">
        <v>10</v>
      </c>
      <c r="B1" s="5" t="s">
        <v>3</v>
      </c>
      <c r="C1" s="14"/>
      <c r="D1" s="10"/>
      <c r="E1" s="33"/>
    </row>
    <row r="2" spans="1:6" ht="18.5" x14ac:dyDescent="0.45">
      <c r="B2" s="5"/>
      <c r="C2" s="14"/>
      <c r="D2" s="10"/>
      <c r="E2" s="33"/>
      <c r="F2" s="37" t="s">
        <v>93</v>
      </c>
    </row>
    <row r="3" spans="1:6" ht="15.5" x14ac:dyDescent="0.35">
      <c r="A3" s="13" t="s">
        <v>17</v>
      </c>
      <c r="B3" s="9" t="s">
        <v>6</v>
      </c>
      <c r="C3" s="15" t="s">
        <v>2</v>
      </c>
      <c r="D3" s="6" t="s">
        <v>0</v>
      </c>
      <c r="E3" s="6" t="s">
        <v>1</v>
      </c>
      <c r="F3" s="23" t="s">
        <v>89</v>
      </c>
    </row>
    <row r="4" spans="1:6" x14ac:dyDescent="0.35">
      <c r="A4" s="1">
        <v>1</v>
      </c>
      <c r="B4">
        <v>5</v>
      </c>
      <c r="C4" s="16">
        <v>3.3784722222222223E-2</v>
      </c>
      <c r="D4" s="1">
        <f>VLOOKUP(B4,Registration!$B$3:$C$77,2,FALSE)</f>
        <v>1</v>
      </c>
      <c r="E4" s="1">
        <v>1</v>
      </c>
      <c r="F4" s="16">
        <f>C4/8.6</f>
        <v>3.9284560723514212E-3</v>
      </c>
    </row>
    <row r="5" spans="1:6" x14ac:dyDescent="0.35">
      <c r="A5" s="1">
        <v>2</v>
      </c>
      <c r="B5">
        <v>68</v>
      </c>
      <c r="C5" s="16">
        <v>3.4247685185185187E-2</v>
      </c>
      <c r="D5" s="1">
        <f>VLOOKUP(B5,Registration!$B$3:$C$77,2,FALSE)</f>
        <v>1</v>
      </c>
      <c r="E5" s="1">
        <v>2</v>
      </c>
      <c r="F5" s="16">
        <f t="shared" ref="F5:F14" si="0">C5/8.6</f>
        <v>3.9822889750215336E-3</v>
      </c>
    </row>
    <row r="6" spans="1:6" x14ac:dyDescent="0.35">
      <c r="A6" s="1">
        <v>3</v>
      </c>
      <c r="B6">
        <v>47</v>
      </c>
      <c r="C6" s="16">
        <v>3.5798611111111107E-2</v>
      </c>
      <c r="D6" s="1">
        <f>VLOOKUP(B6,Registration!$B$3:$C$77,2,FALSE)</f>
        <v>8</v>
      </c>
      <c r="E6" s="1">
        <v>1</v>
      </c>
      <c r="F6" s="16">
        <f t="shared" si="0"/>
        <v>4.1626291989664077E-3</v>
      </c>
    </row>
    <row r="7" spans="1:6" x14ac:dyDescent="0.35">
      <c r="A7" s="1">
        <v>4</v>
      </c>
      <c r="B7">
        <v>7</v>
      </c>
      <c r="C7" s="16">
        <v>3.6064814814814813E-2</v>
      </c>
      <c r="D7" s="1">
        <f>VLOOKUP(B7,Registration!$B$3:$C$77,2,FALSE)</f>
        <v>1</v>
      </c>
      <c r="E7" s="1">
        <v>3</v>
      </c>
      <c r="F7" s="16">
        <f t="shared" si="0"/>
        <v>4.1935831180017228E-3</v>
      </c>
    </row>
    <row r="8" spans="1:6" x14ac:dyDescent="0.35">
      <c r="A8" s="1">
        <v>5</v>
      </c>
      <c r="B8">
        <v>9</v>
      </c>
      <c r="C8" s="16">
        <v>3.6249999999999998E-2</v>
      </c>
      <c r="D8" s="1">
        <f>VLOOKUP(B8,Registration!$B$3:$C$77,2,FALSE)</f>
        <v>2</v>
      </c>
      <c r="E8" s="1">
        <v>1</v>
      </c>
      <c r="F8" s="16">
        <f t="shared" si="0"/>
        <v>4.2151162790697669E-3</v>
      </c>
    </row>
    <row r="9" spans="1:6" x14ac:dyDescent="0.35">
      <c r="A9" s="1">
        <v>6</v>
      </c>
      <c r="B9">
        <v>1</v>
      </c>
      <c r="C9" s="16">
        <v>3.7789351851851852E-2</v>
      </c>
      <c r="D9" s="1">
        <f>VLOOKUP(B9,Registration!$B$3:$C$77,2,FALSE)</f>
        <v>1</v>
      </c>
      <c r="E9" s="1">
        <v>4</v>
      </c>
      <c r="F9" s="16">
        <f t="shared" si="0"/>
        <v>4.3941106804478896E-3</v>
      </c>
    </row>
    <row r="10" spans="1:6" x14ac:dyDescent="0.35">
      <c r="A10" s="1">
        <v>7</v>
      </c>
      <c r="B10">
        <v>18</v>
      </c>
      <c r="C10" s="16">
        <v>3.9004629629629632E-2</v>
      </c>
      <c r="D10" s="1">
        <f>VLOOKUP(B10,Registration!$B$3:$C$77,2,FALSE)</f>
        <v>6</v>
      </c>
      <c r="E10" s="1">
        <v>1</v>
      </c>
      <c r="F10" s="16">
        <f t="shared" si="0"/>
        <v>4.5354220499569343E-3</v>
      </c>
    </row>
    <row r="11" spans="1:6" x14ac:dyDescent="0.35">
      <c r="A11" s="1">
        <v>8</v>
      </c>
      <c r="B11">
        <v>43</v>
      </c>
      <c r="C11" s="16">
        <v>3.953703703703703E-2</v>
      </c>
      <c r="D11" s="1">
        <f>VLOOKUP(B11,Registration!$B$3:$C$77,2,FALSE)</f>
        <v>8</v>
      </c>
      <c r="E11" s="1">
        <v>2</v>
      </c>
      <c r="F11" s="16">
        <f t="shared" si="0"/>
        <v>4.5973298880275619E-3</v>
      </c>
    </row>
    <row r="12" spans="1:6" x14ac:dyDescent="0.35">
      <c r="A12" s="1">
        <v>9</v>
      </c>
      <c r="B12">
        <v>19</v>
      </c>
      <c r="C12" s="16">
        <v>3.9594907407407405E-2</v>
      </c>
      <c r="D12" s="1">
        <f>VLOOKUP(B12,Registration!$B$3:$C$77,2,FALSE)</f>
        <v>6</v>
      </c>
      <c r="E12" s="1">
        <v>2</v>
      </c>
      <c r="F12" s="16">
        <f t="shared" si="0"/>
        <v>4.6040590008613264E-3</v>
      </c>
    </row>
    <row r="13" spans="1:6" x14ac:dyDescent="0.35">
      <c r="A13" s="1">
        <v>10</v>
      </c>
      <c r="B13">
        <v>56</v>
      </c>
      <c r="C13" s="16">
        <v>3.9837962962962964E-2</v>
      </c>
      <c r="D13" s="1">
        <f>VLOOKUP(B13,Registration!$B$3:$C$77,2,FALSE)</f>
        <v>9</v>
      </c>
      <c r="E13" s="1">
        <v>1</v>
      </c>
      <c r="F13" s="16">
        <f t="shared" si="0"/>
        <v>4.6323212747631359E-3</v>
      </c>
    </row>
    <row r="14" spans="1:6" x14ac:dyDescent="0.35">
      <c r="A14" s="1">
        <v>11</v>
      </c>
      <c r="B14">
        <v>4</v>
      </c>
      <c r="C14" s="16">
        <v>4.0960648148148149E-2</v>
      </c>
      <c r="D14" s="1">
        <f>VLOOKUP(B14,Registration!$B$3:$C$77,2,FALSE)</f>
        <v>1</v>
      </c>
      <c r="E14" s="1">
        <v>5</v>
      </c>
      <c r="F14" s="16">
        <f t="shared" si="0"/>
        <v>4.7628660637381573E-3</v>
      </c>
    </row>
    <row r="15" spans="1:6" x14ac:dyDescent="0.35">
      <c r="A15" s="1">
        <v>12</v>
      </c>
      <c r="B15">
        <v>2</v>
      </c>
      <c r="C15" s="16">
        <v>4.130787037037037E-2</v>
      </c>
      <c r="D15" s="1">
        <f>VLOOKUP(B15,Registration!$B$3:$C$77,2,FALSE)</f>
        <v>1</v>
      </c>
      <c r="E15" s="1">
        <v>6</v>
      </c>
      <c r="F15" s="16">
        <f>C15/8.6</f>
        <v>4.8032407407407407E-3</v>
      </c>
    </row>
    <row r="16" spans="1:6" x14ac:dyDescent="0.35">
      <c r="A16" s="1">
        <v>13</v>
      </c>
      <c r="B16">
        <v>6</v>
      </c>
      <c r="C16" s="16">
        <v>4.1377314814814818E-2</v>
      </c>
      <c r="D16" s="1">
        <f>VLOOKUP(B16,Registration!$B$3:$C$77,2,FALSE)</f>
        <v>1</v>
      </c>
      <c r="E16" s="1">
        <v>7</v>
      </c>
      <c r="F16" s="16">
        <f t="shared" ref="F16:F64" si="1">C16/8.6</f>
        <v>4.8113156761412585E-3</v>
      </c>
    </row>
    <row r="17" spans="1:6" x14ac:dyDescent="0.35">
      <c r="A17" s="1">
        <v>14</v>
      </c>
      <c r="B17">
        <v>65</v>
      </c>
      <c r="C17" s="16">
        <v>4.3645833333333335E-2</v>
      </c>
      <c r="D17" s="1">
        <f>VLOOKUP(B17,Registration!$B$3:$C$77,2,FALSE)</f>
        <v>10</v>
      </c>
      <c r="E17" s="1">
        <v>1</v>
      </c>
      <c r="F17" s="16">
        <f t="shared" si="1"/>
        <v>5.0750968992248069E-3</v>
      </c>
    </row>
    <row r="18" spans="1:6" x14ac:dyDescent="0.35">
      <c r="A18" s="1">
        <v>15</v>
      </c>
      <c r="B18">
        <v>22</v>
      </c>
      <c r="C18" s="16">
        <v>4.4155092592592593E-2</v>
      </c>
      <c r="D18" s="1">
        <f>VLOOKUP(B18,Registration!$B$3:$C$77,2,FALSE)</f>
        <v>7</v>
      </c>
      <c r="E18" s="1">
        <v>1</v>
      </c>
      <c r="F18" s="16">
        <f t="shared" si="1"/>
        <v>5.1343130921619297E-3</v>
      </c>
    </row>
    <row r="19" spans="1:6" x14ac:dyDescent="0.35">
      <c r="A19" s="1">
        <v>16</v>
      </c>
      <c r="B19">
        <v>45</v>
      </c>
      <c r="C19" s="16">
        <v>4.4583333333333336E-2</v>
      </c>
      <c r="D19" s="1">
        <f>VLOOKUP(B19,Registration!$B$3:$C$77,2,FALSE)</f>
        <v>8</v>
      </c>
      <c r="E19" s="1">
        <v>3</v>
      </c>
      <c r="F19" s="16">
        <f t="shared" si="1"/>
        <v>5.1841085271317833E-3</v>
      </c>
    </row>
    <row r="20" spans="1:6" x14ac:dyDescent="0.35">
      <c r="A20" s="1">
        <v>17</v>
      </c>
      <c r="B20">
        <v>32</v>
      </c>
      <c r="C20" s="16">
        <v>4.4710648148148152E-2</v>
      </c>
      <c r="D20" s="1">
        <f>VLOOKUP(B20,Registration!$B$3:$C$77,2,FALSE)</f>
        <v>8</v>
      </c>
      <c r="E20" s="1">
        <v>4</v>
      </c>
      <c r="F20" s="16">
        <f t="shared" si="1"/>
        <v>5.1989125753660647E-3</v>
      </c>
    </row>
    <row r="21" spans="1:6" x14ac:dyDescent="0.35">
      <c r="A21" s="1">
        <v>18</v>
      </c>
      <c r="B21">
        <v>63</v>
      </c>
      <c r="C21" s="16">
        <v>4.5879629629629631E-2</v>
      </c>
      <c r="D21" s="1">
        <f>VLOOKUP(B21,Registration!$B$3:$C$77,2,FALSE)</f>
        <v>10</v>
      </c>
      <c r="E21" s="1">
        <v>2</v>
      </c>
      <c r="F21" s="16">
        <f t="shared" si="1"/>
        <v>5.3348406546080973E-3</v>
      </c>
    </row>
    <row r="22" spans="1:6" x14ac:dyDescent="0.35">
      <c r="A22" s="1">
        <v>19</v>
      </c>
      <c r="B22">
        <v>46</v>
      </c>
      <c r="C22" s="16">
        <v>4.6041666666666668E-2</v>
      </c>
      <c r="D22" s="1">
        <f>VLOOKUP(B22,Registration!$B$3:$C$77,2,FALSE)</f>
        <v>8</v>
      </c>
      <c r="E22" s="1">
        <v>5</v>
      </c>
      <c r="F22" s="16">
        <f t="shared" si="1"/>
        <v>5.3536821705426358E-3</v>
      </c>
    </row>
    <row r="23" spans="1:6" x14ac:dyDescent="0.35">
      <c r="A23" s="1">
        <v>20</v>
      </c>
      <c r="B23">
        <v>17</v>
      </c>
      <c r="C23" s="16">
        <v>4.6388888888888889E-2</v>
      </c>
      <c r="D23" s="1">
        <f>VLOOKUP(B23,Registration!$B$3:$C$77,2,FALSE)</f>
        <v>6</v>
      </c>
      <c r="E23" s="1">
        <v>3</v>
      </c>
      <c r="F23" s="16">
        <f t="shared" si="1"/>
        <v>5.3940568475452201E-3</v>
      </c>
    </row>
    <row r="24" spans="1:6" x14ac:dyDescent="0.35">
      <c r="A24" s="1">
        <v>21</v>
      </c>
      <c r="B24">
        <v>62</v>
      </c>
      <c r="C24" s="16">
        <v>4.6527777777777779E-2</v>
      </c>
      <c r="D24" s="1">
        <f>VLOOKUP(B24,Registration!$B$3:$C$77,2,FALSE)</f>
        <v>10</v>
      </c>
      <c r="E24" s="1">
        <v>2</v>
      </c>
      <c r="F24" s="16">
        <f t="shared" si="1"/>
        <v>5.4102067183462539E-3</v>
      </c>
    </row>
    <row r="25" spans="1:6" x14ac:dyDescent="0.35">
      <c r="A25" s="1">
        <v>22</v>
      </c>
      <c r="B25">
        <v>58</v>
      </c>
      <c r="C25" s="16">
        <v>4.6724537037037044E-2</v>
      </c>
      <c r="D25" s="1">
        <f>VLOOKUP(B25,Registration!$B$3:$C$77,2,FALSE)</f>
        <v>10</v>
      </c>
      <c r="E25" s="1">
        <v>3</v>
      </c>
      <c r="F25" s="16">
        <f t="shared" si="1"/>
        <v>5.4330857019810521E-3</v>
      </c>
    </row>
    <row r="26" spans="1:6" x14ac:dyDescent="0.35">
      <c r="A26" s="1">
        <v>23</v>
      </c>
      <c r="B26">
        <v>34</v>
      </c>
      <c r="C26" s="16">
        <v>4.7615740740740743E-2</v>
      </c>
      <c r="D26" s="1">
        <f>VLOOKUP(B26,Registration!$B$3:$C$77,2,FALSE)</f>
        <v>8</v>
      </c>
      <c r="E26" s="1">
        <v>5</v>
      </c>
      <c r="F26" s="16">
        <f t="shared" si="1"/>
        <v>5.5367140396210173E-3</v>
      </c>
    </row>
    <row r="27" spans="1:6" x14ac:dyDescent="0.35">
      <c r="A27" s="1">
        <v>24</v>
      </c>
      <c r="B27">
        <v>21</v>
      </c>
      <c r="C27" s="16">
        <v>4.7986111111111111E-2</v>
      </c>
      <c r="D27" s="1">
        <f>VLOOKUP(B27,Registration!$B$3:$C$77,2,FALSE)</f>
        <v>7</v>
      </c>
      <c r="E27" s="1">
        <v>2</v>
      </c>
      <c r="F27" s="16">
        <f t="shared" si="1"/>
        <v>5.5797803617571064E-3</v>
      </c>
    </row>
    <row r="28" spans="1:6" x14ac:dyDescent="0.35">
      <c r="A28" s="1">
        <v>25</v>
      </c>
      <c r="B28">
        <v>39</v>
      </c>
      <c r="C28" s="16">
        <v>4.8240740740740744E-2</v>
      </c>
      <c r="D28" s="1">
        <f>VLOOKUP(B28,Registration!$B$3:$C$77,2,FALSE)</f>
        <v>8</v>
      </c>
      <c r="E28" s="1">
        <v>5</v>
      </c>
      <c r="F28" s="16">
        <f t="shared" si="1"/>
        <v>5.6093884582256682E-3</v>
      </c>
    </row>
    <row r="29" spans="1:6" x14ac:dyDescent="0.35">
      <c r="A29" s="1">
        <v>26</v>
      </c>
      <c r="B29">
        <v>53</v>
      </c>
      <c r="C29" s="16">
        <v>4.8379629629629627E-2</v>
      </c>
      <c r="D29" s="1">
        <f>VLOOKUP(B29,Registration!$B$3:$C$77,2,FALSE)</f>
        <v>9</v>
      </c>
      <c r="E29" s="1">
        <v>2</v>
      </c>
      <c r="F29" s="16">
        <f t="shared" si="1"/>
        <v>5.6255383290267011E-3</v>
      </c>
    </row>
    <row r="30" spans="1:6" x14ac:dyDescent="0.35">
      <c r="A30" s="1">
        <v>27</v>
      </c>
      <c r="B30">
        <v>25</v>
      </c>
      <c r="C30" s="16">
        <v>4.87037037037037E-2</v>
      </c>
      <c r="D30" s="1">
        <f>VLOOKUP(B30,Registration!$B$3:$C$77,2,FALSE)</f>
        <v>7</v>
      </c>
      <c r="E30" s="1">
        <v>3</v>
      </c>
      <c r="F30" s="16">
        <f t="shared" si="1"/>
        <v>5.6632213608957789E-3</v>
      </c>
    </row>
    <row r="31" spans="1:6" x14ac:dyDescent="0.35">
      <c r="A31" s="1">
        <v>28</v>
      </c>
      <c r="B31">
        <v>20</v>
      </c>
      <c r="C31" s="16">
        <v>4.9814814814814812E-2</v>
      </c>
      <c r="D31" s="1">
        <f>VLOOKUP(B31,Registration!$B$3:$C$77,2,FALSE)</f>
        <v>6</v>
      </c>
      <c r="E31" s="1">
        <v>4</v>
      </c>
      <c r="F31" s="16">
        <f t="shared" si="1"/>
        <v>5.792420327304048E-3</v>
      </c>
    </row>
    <row r="32" spans="1:6" x14ac:dyDescent="0.35">
      <c r="A32" s="1">
        <v>29</v>
      </c>
      <c r="B32">
        <v>60</v>
      </c>
      <c r="C32" s="16">
        <v>5.1168981481481489E-2</v>
      </c>
      <c r="D32" s="1">
        <f>VLOOKUP(B32,Registration!$B$3:$C$77,2,FALSE)</f>
        <v>10</v>
      </c>
      <c r="E32" s="1">
        <v>4</v>
      </c>
      <c r="F32" s="16">
        <f t="shared" si="1"/>
        <v>5.9498815676141265E-3</v>
      </c>
    </row>
    <row r="33" spans="1:6" x14ac:dyDescent="0.35">
      <c r="A33" s="1">
        <v>30</v>
      </c>
      <c r="B33">
        <v>57</v>
      </c>
      <c r="C33" s="16">
        <v>5.1284722222222225E-2</v>
      </c>
      <c r="D33" s="1">
        <f>VLOOKUP(B33,Registration!$B$3:$C$77,2,FALSE)</f>
        <v>9</v>
      </c>
      <c r="E33" s="1">
        <v>3</v>
      </c>
      <c r="F33" s="16">
        <f t="shared" si="1"/>
        <v>5.9633397932816546E-3</v>
      </c>
    </row>
    <row r="34" spans="1:6" x14ac:dyDescent="0.35">
      <c r="A34" s="1">
        <v>31</v>
      </c>
      <c r="B34">
        <v>44</v>
      </c>
      <c r="C34" s="16">
        <v>5.1793981481481483E-2</v>
      </c>
      <c r="D34" s="1">
        <f>VLOOKUP(B34,Registration!$B$3:$C$77,2,FALSE)</f>
        <v>8</v>
      </c>
      <c r="E34" s="1">
        <v>6</v>
      </c>
      <c r="F34" s="16">
        <f t="shared" si="1"/>
        <v>6.0225559862187774E-3</v>
      </c>
    </row>
    <row r="35" spans="1:6" x14ac:dyDescent="0.35">
      <c r="A35" s="1">
        <v>32</v>
      </c>
      <c r="B35">
        <v>61</v>
      </c>
      <c r="C35" s="16">
        <v>5.1875000000000004E-2</v>
      </c>
      <c r="D35" s="1">
        <f>VLOOKUP(B35,Registration!$B$3:$C$77,2,FALSE)</f>
        <v>10</v>
      </c>
      <c r="E35" s="1">
        <v>5</v>
      </c>
      <c r="F35" s="16">
        <f t="shared" si="1"/>
        <v>6.0319767441860475E-3</v>
      </c>
    </row>
    <row r="36" spans="1:6" x14ac:dyDescent="0.35">
      <c r="A36" s="1">
        <v>33</v>
      </c>
      <c r="B36">
        <v>11</v>
      </c>
      <c r="C36" s="16">
        <v>5.244212962962963E-2</v>
      </c>
      <c r="D36" s="1">
        <f>VLOOKUP(B36,Registration!$B$3:$C$77,2,FALSE)</f>
        <v>3</v>
      </c>
      <c r="E36" s="1">
        <v>1</v>
      </c>
      <c r="F36" s="16">
        <f t="shared" si="1"/>
        <v>6.097922049956934E-3</v>
      </c>
    </row>
    <row r="37" spans="1:6" x14ac:dyDescent="0.35">
      <c r="A37" s="1">
        <v>34</v>
      </c>
      <c r="B37">
        <v>31</v>
      </c>
      <c r="C37" s="16">
        <v>5.2604166666666667E-2</v>
      </c>
      <c r="D37" s="1">
        <f>VLOOKUP(B37,Registration!$B$3:$C$77,2,FALSE)</f>
        <v>8</v>
      </c>
      <c r="E37" s="1">
        <v>6</v>
      </c>
      <c r="F37" s="16">
        <f t="shared" si="1"/>
        <v>6.1167635658914733E-3</v>
      </c>
    </row>
    <row r="38" spans="1:6" x14ac:dyDescent="0.35">
      <c r="A38" s="1">
        <v>35</v>
      </c>
      <c r="B38">
        <v>23</v>
      </c>
      <c r="C38" s="16">
        <v>5.2615740740740741E-2</v>
      </c>
      <c r="D38" s="1">
        <f>VLOOKUP(B38,Registration!$B$3:$C$77,2,FALSE)</f>
        <v>7</v>
      </c>
      <c r="E38" s="1">
        <v>4</v>
      </c>
      <c r="F38" s="16">
        <f t="shared" si="1"/>
        <v>6.1181093884582257E-3</v>
      </c>
    </row>
    <row r="39" spans="1:6" x14ac:dyDescent="0.35">
      <c r="A39" s="1">
        <v>36</v>
      </c>
      <c r="B39">
        <v>16</v>
      </c>
      <c r="C39" s="16">
        <v>5.2905092592592594E-2</v>
      </c>
      <c r="D39" s="1">
        <f>VLOOKUP(B39,Registration!$B$3:$C$77,2,FALSE)</f>
        <v>6</v>
      </c>
      <c r="E39" s="1">
        <v>5</v>
      </c>
      <c r="F39" s="16">
        <f t="shared" si="1"/>
        <v>6.1517549526270464E-3</v>
      </c>
    </row>
    <row r="40" spans="1:6" x14ac:dyDescent="0.35">
      <c r="A40" s="1">
        <v>37</v>
      </c>
      <c r="B40">
        <v>64</v>
      </c>
      <c r="C40" s="16">
        <v>5.3287037037037042E-2</v>
      </c>
      <c r="D40" s="1">
        <f>VLOOKUP(B40,Registration!$B$3:$C$77,2,FALSE)</f>
        <v>10</v>
      </c>
      <c r="E40" s="1">
        <v>6</v>
      </c>
      <c r="F40" s="16">
        <f t="shared" si="1"/>
        <v>6.1961670973298888E-3</v>
      </c>
    </row>
    <row r="41" spans="1:6" x14ac:dyDescent="0.35">
      <c r="A41" s="1">
        <v>38</v>
      </c>
      <c r="B41">
        <v>30</v>
      </c>
      <c r="C41" s="16">
        <v>5.3402777777777778E-2</v>
      </c>
      <c r="D41" s="1">
        <f>VLOOKUP(B41,Registration!$B$3:$C$77,2,FALSE)</f>
        <v>8</v>
      </c>
      <c r="E41" s="1">
        <v>7</v>
      </c>
      <c r="F41" s="16">
        <f t="shared" si="1"/>
        <v>6.209625322997416E-3</v>
      </c>
    </row>
    <row r="42" spans="1:6" x14ac:dyDescent="0.35">
      <c r="A42" s="1">
        <v>39</v>
      </c>
      <c r="B42">
        <v>40</v>
      </c>
      <c r="C42" s="16">
        <v>5.3715277777777772E-2</v>
      </c>
      <c r="D42" s="1">
        <f>VLOOKUP(B42,Registration!$B$3:$C$77,2,FALSE)</f>
        <v>8</v>
      </c>
      <c r="E42" s="1">
        <v>8</v>
      </c>
      <c r="F42" s="16">
        <f t="shared" si="1"/>
        <v>6.2459625322997415E-3</v>
      </c>
    </row>
    <row r="43" spans="1:6" x14ac:dyDescent="0.35">
      <c r="A43" s="1">
        <v>40</v>
      </c>
      <c r="B43">
        <v>10</v>
      </c>
      <c r="C43" s="16">
        <v>5.3807870370370374E-2</v>
      </c>
      <c r="D43" s="1">
        <f>VLOOKUP(B43,Registration!$B$3:$C$77,2,FALSE)</f>
        <v>3</v>
      </c>
      <c r="E43" s="1">
        <v>2</v>
      </c>
      <c r="F43" s="16">
        <f t="shared" si="1"/>
        <v>6.2567291128337648E-3</v>
      </c>
    </row>
    <row r="44" spans="1:6" x14ac:dyDescent="0.35">
      <c r="A44" s="1">
        <v>41</v>
      </c>
      <c r="B44">
        <v>69</v>
      </c>
      <c r="C44" s="16">
        <v>5.4502314814814816E-2</v>
      </c>
      <c r="D44" s="1">
        <f>VLOOKUP(B44,Registration!$B$3:$C$77,2,FALSE)</f>
        <v>10</v>
      </c>
      <c r="E44" s="1">
        <v>7</v>
      </c>
      <c r="F44" s="16">
        <f t="shared" si="1"/>
        <v>6.3374784668389327E-3</v>
      </c>
    </row>
    <row r="45" spans="1:6" x14ac:dyDescent="0.35">
      <c r="A45" s="1">
        <v>42</v>
      </c>
      <c r="B45">
        <v>15</v>
      </c>
      <c r="C45" s="16">
        <v>5.5173611111111111E-2</v>
      </c>
      <c r="D45" s="1">
        <f>VLOOKUP(B45,Registration!$B$3:$C$77,2,FALSE)</f>
        <v>6</v>
      </c>
      <c r="E45" s="1">
        <v>6</v>
      </c>
      <c r="F45" s="16">
        <f t="shared" si="1"/>
        <v>6.4155361757105948E-3</v>
      </c>
    </row>
    <row r="46" spans="1:6" x14ac:dyDescent="0.35">
      <c r="A46" s="1">
        <v>43</v>
      </c>
      <c r="B46">
        <v>3</v>
      </c>
      <c r="C46" s="16">
        <v>5.5543981481481486E-2</v>
      </c>
      <c r="D46" s="1">
        <f>VLOOKUP(B46,Registration!$B$3:$C$77,2,FALSE)</f>
        <v>1</v>
      </c>
      <c r="E46" s="1">
        <v>8</v>
      </c>
      <c r="F46" s="16">
        <f t="shared" si="1"/>
        <v>6.4586024978466848E-3</v>
      </c>
    </row>
    <row r="47" spans="1:6" x14ac:dyDescent="0.35">
      <c r="A47" s="1">
        <v>44</v>
      </c>
      <c r="B47">
        <v>54</v>
      </c>
      <c r="C47" s="16">
        <v>5.6006944444444449E-2</v>
      </c>
      <c r="D47" s="1">
        <f>VLOOKUP(B47,Registration!$B$3:$C$77,2,FALSE)</f>
        <v>9</v>
      </c>
      <c r="E47" s="1">
        <v>4</v>
      </c>
      <c r="F47" s="16">
        <f t="shared" si="1"/>
        <v>6.5124354005167964E-3</v>
      </c>
    </row>
    <row r="48" spans="1:6" x14ac:dyDescent="0.35">
      <c r="A48" s="1">
        <v>45</v>
      </c>
      <c r="B48">
        <v>29</v>
      </c>
      <c r="C48" s="16">
        <v>5.6585648148148149E-2</v>
      </c>
      <c r="D48" s="1">
        <f>VLOOKUP(B48,Registration!$B$3:$C$77,2,FALSE)</f>
        <v>8</v>
      </c>
      <c r="E48" s="1">
        <v>9</v>
      </c>
      <c r="F48" s="16">
        <f t="shared" si="1"/>
        <v>6.5797265288544361E-3</v>
      </c>
    </row>
    <row r="49" spans="1:6" x14ac:dyDescent="0.35">
      <c r="A49" s="1">
        <v>46</v>
      </c>
      <c r="B49">
        <v>49</v>
      </c>
      <c r="C49" s="16">
        <v>5.6655092592592597E-2</v>
      </c>
      <c r="D49" s="1">
        <f>VLOOKUP(B49,Registration!$B$3:$C$77,2,FALSE)</f>
        <v>9</v>
      </c>
      <c r="E49" s="1">
        <v>5</v>
      </c>
      <c r="F49" s="16">
        <f t="shared" si="1"/>
        <v>6.5878014642549538E-3</v>
      </c>
    </row>
    <row r="50" spans="1:6" x14ac:dyDescent="0.35">
      <c r="A50" s="1">
        <v>47</v>
      </c>
      <c r="B50">
        <v>14</v>
      </c>
      <c r="C50" s="16">
        <v>5.6736111111111105E-2</v>
      </c>
      <c r="D50" s="1">
        <f>VLOOKUP(B50,Registration!$B$3:$C$77,2,FALSE)</f>
        <v>5</v>
      </c>
      <c r="E50" s="1">
        <v>1</v>
      </c>
      <c r="F50" s="16">
        <f t="shared" si="1"/>
        <v>6.5972222222222222E-3</v>
      </c>
    </row>
    <row r="51" spans="1:6" x14ac:dyDescent="0.35">
      <c r="A51" s="1">
        <v>48</v>
      </c>
      <c r="B51">
        <v>48</v>
      </c>
      <c r="C51" s="16">
        <v>5.7233796296296297E-2</v>
      </c>
      <c r="D51" s="1">
        <f>VLOOKUP(B51,Registration!$B$3:$C$77,2,FALSE)</f>
        <v>9</v>
      </c>
      <c r="E51" s="1">
        <v>5</v>
      </c>
      <c r="F51" s="16">
        <f t="shared" si="1"/>
        <v>6.6550925925925927E-3</v>
      </c>
    </row>
    <row r="52" spans="1:6" x14ac:dyDescent="0.35">
      <c r="A52" s="1">
        <v>49</v>
      </c>
      <c r="B52">
        <v>13</v>
      </c>
      <c r="C52" s="16">
        <v>5.8159722222222217E-2</v>
      </c>
      <c r="D52" s="1">
        <f>VLOOKUP(B52,Registration!$B$3:$C$77,2,FALSE)</f>
        <v>4</v>
      </c>
      <c r="E52" s="1">
        <v>1</v>
      </c>
      <c r="F52" s="16">
        <f t="shared" si="1"/>
        <v>6.7627583979328158E-3</v>
      </c>
    </row>
    <row r="53" spans="1:6" x14ac:dyDescent="0.35">
      <c r="A53" s="1">
        <v>50</v>
      </c>
      <c r="B53">
        <v>27</v>
      </c>
      <c r="C53" s="16">
        <v>5.932870370370371E-2</v>
      </c>
      <c r="D53" s="1">
        <f>VLOOKUP(B53,Registration!$B$3:$C$77,2,FALSE)</f>
        <v>7</v>
      </c>
      <c r="E53" s="1">
        <v>5</v>
      </c>
      <c r="F53" s="16">
        <f t="shared" si="1"/>
        <v>6.8986864771748502E-3</v>
      </c>
    </row>
    <row r="54" spans="1:6" x14ac:dyDescent="0.35">
      <c r="A54" s="1">
        <v>51</v>
      </c>
      <c r="B54">
        <v>37</v>
      </c>
      <c r="C54" s="16">
        <v>5.9525462962962961E-2</v>
      </c>
      <c r="D54" s="1">
        <f>VLOOKUP(B54,Registration!$B$3:$C$77,2,FALSE)</f>
        <v>8</v>
      </c>
      <c r="E54" s="1">
        <v>10</v>
      </c>
      <c r="F54" s="16">
        <f t="shared" si="1"/>
        <v>6.9215654608096467E-3</v>
      </c>
    </row>
    <row r="55" spans="1:6" x14ac:dyDescent="0.35">
      <c r="A55" s="1">
        <v>52</v>
      </c>
      <c r="B55">
        <v>28</v>
      </c>
      <c r="C55" s="16">
        <v>5.9548611111111115E-2</v>
      </c>
      <c r="D55" s="1">
        <f>VLOOKUP(B55,Registration!$B$3:$C$77,2,FALSE)</f>
        <v>7</v>
      </c>
      <c r="E55" s="1">
        <v>6</v>
      </c>
      <c r="F55" s="16">
        <f t="shared" si="1"/>
        <v>6.9242571059431532E-3</v>
      </c>
    </row>
    <row r="56" spans="1:6" x14ac:dyDescent="0.35">
      <c r="A56" s="1">
        <v>53</v>
      </c>
      <c r="B56">
        <v>24</v>
      </c>
      <c r="C56" s="16">
        <v>6.0798611111111116E-2</v>
      </c>
      <c r="D56" s="1">
        <f>VLOOKUP(B56,Registration!$B$3:$C$77,2,FALSE)</f>
        <v>7</v>
      </c>
      <c r="E56" s="1">
        <v>7</v>
      </c>
      <c r="F56" s="16">
        <f t="shared" si="1"/>
        <v>7.0696059431524559E-3</v>
      </c>
    </row>
    <row r="57" spans="1:6" x14ac:dyDescent="0.35">
      <c r="A57" s="1">
        <v>54</v>
      </c>
      <c r="B57">
        <v>33</v>
      </c>
      <c r="C57" s="16">
        <v>6.1435185185185183E-2</v>
      </c>
      <c r="D57" s="1">
        <f>VLOOKUP(B57,Registration!$B$3:$C$77,2,FALSE)</f>
        <v>8</v>
      </c>
      <c r="E57" s="1">
        <v>11</v>
      </c>
      <c r="F57" s="16">
        <f t="shared" si="1"/>
        <v>7.1436261843238584E-3</v>
      </c>
    </row>
    <row r="58" spans="1:6" x14ac:dyDescent="0.35">
      <c r="A58" s="1">
        <v>55</v>
      </c>
      <c r="B58">
        <v>38</v>
      </c>
      <c r="C58" s="16">
        <v>6.1817129629629632E-2</v>
      </c>
      <c r="D58" s="1">
        <f>VLOOKUP(B58,Registration!$B$3:$C$77,2,FALSE)</f>
        <v>8</v>
      </c>
      <c r="E58" s="1">
        <v>12</v>
      </c>
      <c r="F58" s="16">
        <f t="shared" si="1"/>
        <v>7.1880383290267016E-3</v>
      </c>
    </row>
    <row r="59" spans="1:6" x14ac:dyDescent="0.35">
      <c r="A59" s="1">
        <v>56</v>
      </c>
      <c r="B59">
        <v>52</v>
      </c>
      <c r="C59" s="16">
        <v>6.1956018518518514E-2</v>
      </c>
      <c r="D59" s="1">
        <f>VLOOKUP(B59,Registration!$B$3:$C$77,2,FALSE)</f>
        <v>9</v>
      </c>
      <c r="E59" s="1">
        <v>6</v>
      </c>
      <c r="F59" s="16">
        <f t="shared" si="1"/>
        <v>7.2041881998277345E-3</v>
      </c>
    </row>
    <row r="60" spans="1:6" x14ac:dyDescent="0.35">
      <c r="A60" s="1">
        <v>57</v>
      </c>
      <c r="B60">
        <v>50</v>
      </c>
      <c r="C60" s="16">
        <v>6.3043981481481479E-2</v>
      </c>
      <c r="D60" s="1">
        <f>VLOOKUP(B60,Registration!$B$3:$C$77,2,FALSE)</f>
        <v>9</v>
      </c>
      <c r="E60" s="1">
        <v>7</v>
      </c>
      <c r="F60" s="16">
        <f t="shared" si="1"/>
        <v>7.3306955211024979E-3</v>
      </c>
    </row>
    <row r="61" spans="1:6" x14ac:dyDescent="0.35">
      <c r="A61" s="1">
        <v>58</v>
      </c>
      <c r="B61">
        <v>36</v>
      </c>
      <c r="C61" s="16">
        <v>6.3206018518518522E-2</v>
      </c>
      <c r="D61" s="1">
        <f>VLOOKUP(B61,Registration!$B$3:$C$77,2,FALSE)</f>
        <v>8</v>
      </c>
      <c r="E61" s="1">
        <v>13</v>
      </c>
      <c r="F61" s="16">
        <f t="shared" si="1"/>
        <v>7.3495370370370381E-3</v>
      </c>
    </row>
    <row r="62" spans="1:6" x14ac:dyDescent="0.35">
      <c r="A62" s="1">
        <v>59</v>
      </c>
      <c r="B62">
        <v>12</v>
      </c>
      <c r="C62" s="16">
        <v>6.7870370370370373E-2</v>
      </c>
      <c r="D62" s="1">
        <f>VLOOKUP(B62,Registration!$B$3:$C$77,2,FALSE)</f>
        <v>1</v>
      </c>
      <c r="E62" s="1">
        <v>9</v>
      </c>
      <c r="F62" s="16">
        <f t="shared" si="1"/>
        <v>7.8919035314384163E-3</v>
      </c>
    </row>
    <row r="63" spans="1:6" x14ac:dyDescent="0.35">
      <c r="A63" s="1">
        <v>60</v>
      </c>
      <c r="B63">
        <v>51</v>
      </c>
      <c r="C63" s="16">
        <v>7.0775462962962957E-2</v>
      </c>
      <c r="D63" s="1">
        <f>VLOOKUP(B63,Registration!$B$3:$C$77,2,FALSE)</f>
        <v>9</v>
      </c>
      <c r="E63" s="1">
        <v>8</v>
      </c>
      <c r="F63" s="16">
        <f t="shared" si="1"/>
        <v>8.2297049956933672E-3</v>
      </c>
    </row>
    <row r="64" spans="1:6" x14ac:dyDescent="0.35">
      <c r="A64" s="1">
        <v>61</v>
      </c>
      <c r="B64">
        <v>26</v>
      </c>
      <c r="C64" s="16">
        <v>7.0914351851851853E-2</v>
      </c>
      <c r="D64" s="1">
        <f>VLOOKUP(B64,Registration!$B$3:$C$77,2,FALSE)</f>
        <v>7</v>
      </c>
      <c r="E64" s="1">
        <v>8</v>
      </c>
      <c r="F64" s="16">
        <f t="shared" si="1"/>
        <v>8.2458548664944026E-3</v>
      </c>
    </row>
    <row r="65" spans="1:6" x14ac:dyDescent="0.35">
      <c r="A65" s="1">
        <v>62</v>
      </c>
      <c r="F65" s="16"/>
    </row>
    <row r="66" spans="1:6" x14ac:dyDescent="0.35">
      <c r="A66" s="1">
        <v>63</v>
      </c>
      <c r="F66" s="16"/>
    </row>
    <row r="67" spans="1:6" x14ac:dyDescent="0.35">
      <c r="A67" s="1">
        <v>64</v>
      </c>
      <c r="F67" s="16"/>
    </row>
    <row r="68" spans="1:6" x14ac:dyDescent="0.35">
      <c r="A68" s="1">
        <v>65</v>
      </c>
      <c r="F68" s="16"/>
    </row>
    <row r="69" spans="1:6" x14ac:dyDescent="0.35">
      <c r="A69" s="1">
        <v>66</v>
      </c>
    </row>
    <row r="70" spans="1:6" x14ac:dyDescent="0.35">
      <c r="A70" s="1">
        <v>67</v>
      </c>
    </row>
    <row r="72" spans="1:6" x14ac:dyDescent="0.35">
      <c r="C72" s="16" t="s">
        <v>101</v>
      </c>
    </row>
    <row r="73" spans="1:6" x14ac:dyDescent="0.35">
      <c r="C73" s="16" t="s">
        <v>99</v>
      </c>
    </row>
    <row r="74" spans="1:6" x14ac:dyDescent="0.35">
      <c r="C74" s="16" t="s">
        <v>100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opLeftCell="F37" workbookViewId="0">
      <selection activeCell="I68" sqref="I68"/>
    </sheetView>
  </sheetViews>
  <sheetFormatPr defaultColWidth="8.81640625" defaultRowHeight="14.5" x14ac:dyDescent="0.35"/>
  <cols>
    <col min="1" max="1" width="6.1796875" customWidth="1"/>
    <col min="2" max="2" width="5.36328125" customWidth="1"/>
    <col min="3" max="3" width="10.6328125" style="16" customWidth="1"/>
    <col min="4" max="4" width="9.81640625" style="16" customWidth="1"/>
    <col min="5" max="5" width="6.1796875" style="1" customWidth="1"/>
    <col min="11" max="11" width="8.81640625" style="1"/>
    <col min="12" max="12" width="10.54296875" style="1" customWidth="1"/>
  </cols>
  <sheetData>
    <row r="1" spans="1:12" ht="18.5" x14ac:dyDescent="0.45">
      <c r="A1" s="4" t="s">
        <v>11</v>
      </c>
      <c r="B1" s="5" t="s">
        <v>3</v>
      </c>
      <c r="C1" s="14"/>
      <c r="D1" s="14"/>
      <c r="E1" s="10"/>
      <c r="F1" s="35" t="s">
        <v>11</v>
      </c>
      <c r="G1" s="5" t="s">
        <v>97</v>
      </c>
    </row>
    <row r="2" spans="1:12" ht="18.5" x14ac:dyDescent="0.45">
      <c r="B2" s="5"/>
      <c r="C2" s="14"/>
      <c r="D2" s="14"/>
      <c r="E2" s="10"/>
      <c r="L2" s="38" t="s">
        <v>98</v>
      </c>
    </row>
    <row r="3" spans="1:12" ht="15.5" x14ac:dyDescent="0.35">
      <c r="A3" s="12" t="s">
        <v>17</v>
      </c>
      <c r="B3" s="9" t="s">
        <v>6</v>
      </c>
      <c r="C3" s="22" t="s">
        <v>16</v>
      </c>
      <c r="D3" s="22" t="s">
        <v>2</v>
      </c>
      <c r="E3" s="6" t="s">
        <v>0</v>
      </c>
      <c r="F3" s="12" t="s">
        <v>17</v>
      </c>
      <c r="G3" s="9" t="s">
        <v>6</v>
      </c>
      <c r="H3" s="22" t="s">
        <v>16</v>
      </c>
      <c r="I3" s="22" t="s">
        <v>2</v>
      </c>
      <c r="J3" s="6" t="s">
        <v>0</v>
      </c>
      <c r="K3" s="6" t="s">
        <v>1</v>
      </c>
      <c r="L3" s="23" t="s">
        <v>89</v>
      </c>
    </row>
    <row r="4" spans="1:12" x14ac:dyDescent="0.35">
      <c r="A4" s="1">
        <v>1</v>
      </c>
      <c r="B4">
        <v>68</v>
      </c>
      <c r="C4" s="16">
        <v>8.8298611111111105E-2</v>
      </c>
      <c r="D4" s="16">
        <f>'leg 2'!C4-'Leg 1'!C4</f>
        <v>5.4513888888888883E-2</v>
      </c>
      <c r="E4" s="1">
        <f>VLOOKUP(B4,Registration!$B$3:$C$77,2,FALSE)</f>
        <v>1</v>
      </c>
      <c r="F4" s="1">
        <v>1</v>
      </c>
      <c r="G4">
        <v>68</v>
      </c>
      <c r="H4" s="16">
        <v>8.8298611111111105E-2</v>
      </c>
      <c r="I4" s="16">
        <f>H4-'Leg 1'!C5</f>
        <v>5.4050925925925919E-2</v>
      </c>
      <c r="J4" s="1">
        <f>VLOOKUP(G4,[1]Registration!$B$3:$C$77,2,FALSE)</f>
        <v>1</v>
      </c>
      <c r="K4" s="1">
        <v>1</v>
      </c>
      <c r="L4" s="29">
        <f t="shared" ref="L4" si="0">I4/13.1</f>
        <v>4.1260248798416733E-3</v>
      </c>
    </row>
    <row r="5" spans="1:12" x14ac:dyDescent="0.35">
      <c r="A5" s="1">
        <v>2</v>
      </c>
      <c r="B5">
        <v>1</v>
      </c>
      <c r="C5" s="16">
        <v>9.1122685185185182E-2</v>
      </c>
      <c r="D5" s="16">
        <f>'leg 2'!C5-'Leg 1'!C5</f>
        <v>5.6874999999999995E-2</v>
      </c>
      <c r="E5" s="1">
        <f>VLOOKUP(B5,Registration!$B$3:$C$77,2,FALSE)</f>
        <v>1</v>
      </c>
      <c r="F5" s="1">
        <v>2</v>
      </c>
      <c r="G5">
        <v>1</v>
      </c>
      <c r="H5" s="16">
        <v>9.1122685185185182E-2</v>
      </c>
      <c r="I5" s="16">
        <f>H5-'Leg 1'!C9</f>
        <v>5.333333333333333E-2</v>
      </c>
      <c r="J5" s="1">
        <f>VLOOKUP(G5,[1]Registration!$B$3:$C$77,2,FALSE)</f>
        <v>1</v>
      </c>
      <c r="K5" s="1">
        <v>2</v>
      </c>
      <c r="L5" s="29">
        <f t="shared" ref="L5:L36" si="1">I5/13.1</f>
        <v>4.0712468193384223E-3</v>
      </c>
    </row>
    <row r="6" spans="1:12" x14ac:dyDescent="0.35">
      <c r="A6" s="1">
        <v>3</v>
      </c>
      <c r="B6">
        <v>7</v>
      </c>
      <c r="C6" s="16">
        <v>9.3796296296296308E-2</v>
      </c>
      <c r="D6" s="16">
        <f>'leg 2'!C6-'Leg 1'!C6</f>
        <v>5.7997685185185201E-2</v>
      </c>
      <c r="E6" s="1">
        <f>VLOOKUP(B6,Registration!$B$3:$C$77,2,FALSE)</f>
        <v>1</v>
      </c>
      <c r="F6" s="1">
        <v>3</v>
      </c>
      <c r="G6">
        <v>7</v>
      </c>
      <c r="H6" s="16">
        <v>9.3796296296296308E-2</v>
      </c>
      <c r="I6" s="16">
        <f>H6-'Leg 1'!C7</f>
        <v>5.7731481481481495E-2</v>
      </c>
      <c r="J6" s="1">
        <f>VLOOKUP(G6,[1]Registration!$B$3:$C$77,2,FALSE)</f>
        <v>1</v>
      </c>
      <c r="K6" s="1">
        <v>3</v>
      </c>
      <c r="L6" s="29">
        <f t="shared" si="1"/>
        <v>4.4069833191970609E-3</v>
      </c>
    </row>
    <row r="7" spans="1:12" x14ac:dyDescent="0.35">
      <c r="A7" s="1">
        <v>4</v>
      </c>
      <c r="B7">
        <v>5</v>
      </c>
      <c r="C7" s="16">
        <v>9.4224537037037037E-2</v>
      </c>
      <c r="D7" s="16">
        <f>'leg 2'!C7-'Leg 1'!C7</f>
        <v>5.8159722222222224E-2</v>
      </c>
      <c r="E7" s="1">
        <f>VLOOKUP(B7,Registration!$B$3:$C$77,2,FALSE)</f>
        <v>1</v>
      </c>
      <c r="F7" s="1">
        <v>4</v>
      </c>
      <c r="G7">
        <v>5</v>
      </c>
      <c r="H7" s="16">
        <v>9.4224537037037037E-2</v>
      </c>
      <c r="I7" s="16">
        <f>H7-'Leg 1'!C4</f>
        <v>6.0439814814814814E-2</v>
      </c>
      <c r="J7" s="1">
        <f>VLOOKUP(G7,[1]Registration!$B$3:$C$77,2,FALSE)</f>
        <v>1</v>
      </c>
      <c r="K7" s="1">
        <v>4</v>
      </c>
      <c r="L7" s="29">
        <f t="shared" si="1"/>
        <v>4.6137263217415894E-3</v>
      </c>
    </row>
    <row r="8" spans="1:12" x14ac:dyDescent="0.35">
      <c r="A8" s="1">
        <v>5</v>
      </c>
      <c r="B8">
        <v>2</v>
      </c>
      <c r="C8" s="16">
        <v>9.5775462962962965E-2</v>
      </c>
      <c r="D8" s="16">
        <f>'leg 2'!C8-'Leg 1'!C8</f>
        <v>5.9525462962962968E-2</v>
      </c>
      <c r="E8" s="1">
        <f>VLOOKUP(B8,Registration!$B$3:$C$77,2,FALSE)</f>
        <v>1</v>
      </c>
      <c r="F8" s="1">
        <v>5</v>
      </c>
      <c r="G8">
        <v>2</v>
      </c>
      <c r="H8" s="16">
        <v>9.5775462962962965E-2</v>
      </c>
      <c r="I8" s="16">
        <f>H8-'Leg 1'!C15</f>
        <v>5.4467592592592595E-2</v>
      </c>
      <c r="J8" s="1">
        <f>VLOOKUP(G8,[1]Registration!$B$3:$C$77,2,FALSE)</f>
        <v>1</v>
      </c>
      <c r="K8" s="1">
        <v>5</v>
      </c>
      <c r="L8" s="29">
        <f t="shared" si="1"/>
        <v>4.1578314956177559E-3</v>
      </c>
    </row>
    <row r="9" spans="1:12" x14ac:dyDescent="0.35">
      <c r="A9" s="1">
        <v>6</v>
      </c>
      <c r="B9">
        <v>9</v>
      </c>
      <c r="C9" s="16">
        <v>9.6018518518518517E-2</v>
      </c>
      <c r="D9" s="16">
        <f>'leg 2'!C9-'Leg 1'!C9</f>
        <v>5.8229166666666665E-2</v>
      </c>
      <c r="E9" s="1">
        <f>VLOOKUP(B9,Registration!$B$3:$C$77,2,FALSE)</f>
        <v>2</v>
      </c>
      <c r="F9" s="1">
        <v>6</v>
      </c>
      <c r="G9">
        <v>9</v>
      </c>
      <c r="H9" s="16">
        <v>9.6018518518518517E-2</v>
      </c>
      <c r="I9" s="16">
        <f>H9-'Leg 1'!C8</f>
        <v>5.9768518518518519E-2</v>
      </c>
      <c r="J9" s="1">
        <f>VLOOKUP(G9,[1]Registration!$B$3:$C$77,2,FALSE)</f>
        <v>2</v>
      </c>
      <c r="K9" s="1">
        <v>1</v>
      </c>
      <c r="L9" s="29">
        <f t="shared" si="1"/>
        <v>4.5624823296579022E-3</v>
      </c>
    </row>
    <row r="10" spans="1:12" x14ac:dyDescent="0.35">
      <c r="A10" s="1">
        <v>7</v>
      </c>
      <c r="B10">
        <v>47</v>
      </c>
      <c r="C10" s="16">
        <v>9.7210648148148157E-2</v>
      </c>
      <c r="D10" s="16">
        <f>'leg 2'!C10-'Leg 1'!C10</f>
        <v>5.8206018518518525E-2</v>
      </c>
      <c r="E10" s="1">
        <f>VLOOKUP(B10,Registration!$B$3:$C$77,2,FALSE)</f>
        <v>8</v>
      </c>
      <c r="F10" s="1">
        <v>7</v>
      </c>
      <c r="G10">
        <v>47</v>
      </c>
      <c r="H10" s="16">
        <v>9.7210648148148157E-2</v>
      </c>
      <c r="I10" s="16">
        <f>H10-'Leg 1'!C6</f>
        <v>6.141203703703705E-2</v>
      </c>
      <c r="J10" s="1">
        <f>VLOOKUP(G10,[1]Registration!$B$3:$C$77,2,FALSE)</f>
        <v>8</v>
      </c>
      <c r="K10" s="1">
        <v>1</v>
      </c>
      <c r="L10" s="29">
        <f t="shared" si="1"/>
        <v>4.6879417585524467E-3</v>
      </c>
    </row>
    <row r="11" spans="1:12" x14ac:dyDescent="0.35">
      <c r="A11" s="1">
        <v>8</v>
      </c>
      <c r="B11">
        <v>18</v>
      </c>
      <c r="C11" s="16">
        <v>9.8449074074074064E-2</v>
      </c>
      <c r="D11" s="16">
        <f>'leg 2'!C11-'Leg 1'!C11</f>
        <v>5.8912037037037034E-2</v>
      </c>
      <c r="E11" s="1">
        <f>VLOOKUP(B11,Registration!$B$3:$C$77,2,FALSE)</f>
        <v>6</v>
      </c>
      <c r="F11" s="1">
        <v>8</v>
      </c>
      <c r="G11">
        <v>18</v>
      </c>
      <c r="H11" s="16">
        <v>9.8449074074074064E-2</v>
      </c>
      <c r="I11" s="16">
        <f>H11-'Leg 1'!C10</f>
        <v>5.9444444444444432E-2</v>
      </c>
      <c r="J11" s="1">
        <f>VLOOKUP(G11,[1]Registration!$B$3:$C$77,2,FALSE)</f>
        <v>6</v>
      </c>
      <c r="K11" s="1">
        <v>1</v>
      </c>
      <c r="L11" s="29">
        <f t="shared" si="1"/>
        <v>4.5377438507209489E-3</v>
      </c>
    </row>
    <row r="12" spans="1:12" x14ac:dyDescent="0.35">
      <c r="A12" s="1">
        <v>9</v>
      </c>
      <c r="B12">
        <v>6</v>
      </c>
      <c r="C12" s="16">
        <v>0.10118055555555555</v>
      </c>
      <c r="D12" s="16">
        <f>'leg 2'!C12-'Leg 1'!C12</f>
        <v>6.1585648148148146E-2</v>
      </c>
      <c r="E12" s="1">
        <f>VLOOKUP(B12,Registration!$B$3:$C$77,2,FALSE)</f>
        <v>1</v>
      </c>
      <c r="F12" s="1">
        <v>9</v>
      </c>
      <c r="G12">
        <v>6</v>
      </c>
      <c r="H12" s="16">
        <v>0.10118055555555555</v>
      </c>
      <c r="I12" s="16">
        <f>H12-'Leg 1'!C10</f>
        <v>6.2175925925925919E-2</v>
      </c>
      <c r="J12" s="1">
        <f>VLOOKUP(G12,[1]Registration!$B$3:$C$77,2,FALSE)</f>
        <v>1</v>
      </c>
      <c r="K12" s="1">
        <v>6</v>
      </c>
      <c r="L12" s="29">
        <f t="shared" si="1"/>
        <v>4.7462538874752614E-3</v>
      </c>
    </row>
    <row r="13" spans="1:12" x14ac:dyDescent="0.35">
      <c r="A13" s="1">
        <v>10</v>
      </c>
      <c r="B13">
        <v>55</v>
      </c>
      <c r="C13" s="16">
        <v>0.10255787037037038</v>
      </c>
      <c r="D13" s="16">
        <f>'leg 2'!C13-'Leg 1'!C13</f>
        <v>6.2719907407407419E-2</v>
      </c>
      <c r="E13" s="1">
        <f>VLOOKUP(B13,Registration!$B$3:$C$77,2,FALSE)</f>
        <v>9</v>
      </c>
      <c r="F13" s="1">
        <v>10</v>
      </c>
      <c r="G13">
        <v>55</v>
      </c>
      <c r="H13" s="16">
        <v>0.10255787037037038</v>
      </c>
      <c r="I13" s="16"/>
      <c r="J13" s="1">
        <f>VLOOKUP(G13,[1]Registration!$B$3:$C$77,2,FALSE)</f>
        <v>9</v>
      </c>
      <c r="K13" s="1">
        <v>1</v>
      </c>
      <c r="L13" s="29">
        <f t="shared" si="1"/>
        <v>0</v>
      </c>
    </row>
    <row r="14" spans="1:12" x14ac:dyDescent="0.35">
      <c r="A14" s="1">
        <v>11</v>
      </c>
      <c r="B14">
        <v>43</v>
      </c>
      <c r="C14" s="16">
        <v>0.10350694444444446</v>
      </c>
      <c r="D14" s="16">
        <f>'leg 2'!C14-'Leg 1'!C14</f>
        <v>6.2546296296296308E-2</v>
      </c>
      <c r="E14" s="1">
        <f>VLOOKUP(B14,Registration!$B$3:$C$77,2,FALSE)</f>
        <v>8</v>
      </c>
      <c r="F14" s="1">
        <v>11</v>
      </c>
      <c r="G14">
        <v>43</v>
      </c>
      <c r="H14" s="16">
        <v>0.10350694444444446</v>
      </c>
      <c r="I14" s="16">
        <f>H14-'Leg 1'!C11</f>
        <v>6.3969907407407434E-2</v>
      </c>
      <c r="J14" s="1">
        <f>VLOOKUP(G14,[1]Registration!$B$3:$C$77,2,FALSE)</f>
        <v>8</v>
      </c>
      <c r="K14" s="1">
        <v>2</v>
      </c>
      <c r="L14" s="29">
        <f t="shared" si="1"/>
        <v>4.8831990387333919E-3</v>
      </c>
    </row>
    <row r="15" spans="1:12" x14ac:dyDescent="0.35">
      <c r="A15" s="1">
        <v>12</v>
      </c>
      <c r="B15">
        <v>45</v>
      </c>
      <c r="C15" s="16">
        <v>0.10619212962962964</v>
      </c>
      <c r="D15" s="16">
        <f>'leg 2'!C15-'Leg 1'!C15</f>
        <v>6.4884259259259267E-2</v>
      </c>
      <c r="E15" s="1">
        <f>VLOOKUP(B15,Registration!$B$3:$C$77,2,FALSE)</f>
        <v>8</v>
      </c>
      <c r="F15" s="1">
        <v>12</v>
      </c>
      <c r="G15">
        <v>45</v>
      </c>
      <c r="H15" s="16">
        <v>0.10619212962962964</v>
      </c>
      <c r="I15" s="16">
        <f>H15-'Leg 1'!C19</f>
        <v>6.16087962962963E-2</v>
      </c>
      <c r="J15" s="1">
        <f>VLOOKUP(G15,[1]Registration!$B$3:$C$77,2,FALSE)</f>
        <v>8</v>
      </c>
      <c r="K15" s="1">
        <v>3</v>
      </c>
      <c r="L15" s="29">
        <f t="shared" si="1"/>
        <v>4.7029615493355955E-3</v>
      </c>
    </row>
    <row r="16" spans="1:12" x14ac:dyDescent="0.35">
      <c r="A16" s="1">
        <v>13</v>
      </c>
      <c r="B16">
        <v>59</v>
      </c>
      <c r="C16" s="16">
        <v>0.10686342592592592</v>
      </c>
      <c r="D16" s="16">
        <f>'leg 2'!C16-'Leg 1'!C16</f>
        <v>6.5486111111111106E-2</v>
      </c>
      <c r="E16" s="1">
        <f>VLOOKUP(B16,Registration!$B$3:$C$77,2,FALSE)</f>
        <v>10</v>
      </c>
      <c r="F16" s="1">
        <v>13</v>
      </c>
      <c r="G16">
        <v>59</v>
      </c>
      <c r="H16" s="16">
        <v>0.10686342592592592</v>
      </c>
      <c r="I16" s="16"/>
      <c r="J16" s="1">
        <f>VLOOKUP(G16,[1]Registration!$B$3:$C$77,2,FALSE)</f>
        <v>10</v>
      </c>
      <c r="K16" s="1">
        <v>1</v>
      </c>
      <c r="L16" s="29">
        <f t="shared" si="1"/>
        <v>0</v>
      </c>
    </row>
    <row r="17" spans="1:12" x14ac:dyDescent="0.35">
      <c r="A17" s="1">
        <v>14</v>
      </c>
      <c r="B17">
        <v>4</v>
      </c>
      <c r="C17" s="16">
        <v>0.10895833333333334</v>
      </c>
      <c r="D17" s="16">
        <f>'leg 2'!C17-'Leg 1'!C17</f>
        <v>6.5312499999999996E-2</v>
      </c>
      <c r="E17" s="1">
        <f>VLOOKUP(B17,Registration!$B$3:$C$77,2,FALSE)</f>
        <v>1</v>
      </c>
      <c r="F17" s="1">
        <v>14</v>
      </c>
      <c r="G17">
        <v>4</v>
      </c>
      <c r="H17" s="16">
        <v>0.10895833333333334</v>
      </c>
      <c r="I17" s="16">
        <f>H17-'Leg 1'!C14</f>
        <v>6.7997685185185189E-2</v>
      </c>
      <c r="J17" s="1">
        <f>VLOOKUP(G17,[1]Registration!$B$3:$C$77,2,FALSE)</f>
        <v>1</v>
      </c>
      <c r="K17" s="1">
        <v>7</v>
      </c>
      <c r="L17" s="29">
        <f t="shared" si="1"/>
        <v>5.1906629912355107E-3</v>
      </c>
    </row>
    <row r="18" spans="1:12" x14ac:dyDescent="0.35">
      <c r="A18" s="1">
        <v>15</v>
      </c>
      <c r="B18">
        <v>65</v>
      </c>
      <c r="C18" s="16">
        <v>0.1111111111111111</v>
      </c>
      <c r="D18" s="16">
        <f>'leg 2'!C18-'Leg 1'!C18</f>
        <v>6.6956018518518512E-2</v>
      </c>
      <c r="E18" s="1">
        <f>VLOOKUP(B18,Registration!$B$3:$C$77,2,FALSE)</f>
        <v>10</v>
      </c>
      <c r="F18" s="1">
        <v>15</v>
      </c>
      <c r="G18">
        <v>65</v>
      </c>
      <c r="H18" s="16">
        <v>0.1111111111111111</v>
      </c>
      <c r="I18" s="16">
        <f>H18-'Leg 1'!C17</f>
        <v>6.7465277777777777E-2</v>
      </c>
      <c r="J18" s="1">
        <f>VLOOKUP(G18,[1]Registration!$B$3:$C$77,2,FALSE)</f>
        <v>10</v>
      </c>
      <c r="K18" s="1">
        <v>2</v>
      </c>
      <c r="L18" s="29">
        <f t="shared" si="1"/>
        <v>5.1500212044105174E-3</v>
      </c>
    </row>
    <row r="19" spans="1:12" x14ac:dyDescent="0.35">
      <c r="A19" s="1">
        <v>16</v>
      </c>
      <c r="B19">
        <v>63</v>
      </c>
      <c r="C19" s="16">
        <v>0.11116898148148148</v>
      </c>
      <c r="D19" s="16">
        <f>'leg 2'!C19-'Leg 1'!C19</f>
        <v>6.6585648148148144E-2</v>
      </c>
      <c r="E19" s="1">
        <f>VLOOKUP(B19,Registration!$B$3:$C$77,2,FALSE)</f>
        <v>10</v>
      </c>
      <c r="F19" s="1">
        <v>16</v>
      </c>
      <c r="G19">
        <v>63</v>
      </c>
      <c r="H19" s="16">
        <v>0.11116898148148148</v>
      </c>
      <c r="I19" s="16">
        <f>H19-'Leg 1'!C21</f>
        <v>6.5289351851851848E-2</v>
      </c>
      <c r="J19" s="1">
        <f>VLOOKUP(G19,[1]Registration!$B$3:$C$77,2,FALSE)</f>
        <v>10</v>
      </c>
      <c r="K19" s="1">
        <v>3</v>
      </c>
      <c r="L19" s="29">
        <f t="shared" si="1"/>
        <v>4.9839199886909805E-3</v>
      </c>
    </row>
    <row r="20" spans="1:12" x14ac:dyDescent="0.35">
      <c r="A20" s="1">
        <v>17</v>
      </c>
      <c r="B20">
        <v>17</v>
      </c>
      <c r="C20" s="16">
        <v>0.11189814814814815</v>
      </c>
      <c r="D20" s="16">
        <f>'leg 2'!C20-'Leg 1'!C20</f>
        <v>6.7187499999999997E-2</v>
      </c>
      <c r="E20" s="1">
        <f>VLOOKUP(B20,Registration!$B$3:$C$77,2,FALSE)</f>
        <v>6</v>
      </c>
      <c r="F20" s="1">
        <v>17</v>
      </c>
      <c r="G20">
        <v>17</v>
      </c>
      <c r="H20" s="16">
        <v>0.11189814814814815</v>
      </c>
      <c r="I20" s="16">
        <f>H20-'Leg 1'!C23</f>
        <v>6.5509259259259267E-2</v>
      </c>
      <c r="J20" s="1">
        <f>VLOOKUP(G20,[1]Registration!$B$3:$C$77,2,FALSE)</f>
        <v>6</v>
      </c>
      <c r="K20" s="1">
        <v>2</v>
      </c>
      <c r="L20" s="29">
        <f t="shared" si="1"/>
        <v>5.0007068136839134E-3</v>
      </c>
    </row>
    <row r="21" spans="1:12" x14ac:dyDescent="0.35">
      <c r="A21" s="1">
        <v>18</v>
      </c>
      <c r="B21">
        <v>58</v>
      </c>
      <c r="C21" s="16">
        <v>0.11357638888888888</v>
      </c>
      <c r="D21" s="16">
        <f>'leg 2'!C21-'Leg 1'!C21</f>
        <v>6.7696759259259248E-2</v>
      </c>
      <c r="E21" s="1">
        <f>VLOOKUP(B21,Registration!$B$3:$C$77,2,FALSE)</f>
        <v>10</v>
      </c>
      <c r="F21" s="1">
        <v>18</v>
      </c>
      <c r="G21">
        <v>58</v>
      </c>
      <c r="H21" s="16">
        <v>0.11357638888888888</v>
      </c>
      <c r="I21" s="16">
        <f>H21-'Leg 1'!C25</f>
        <v>6.6851851851851829E-2</v>
      </c>
      <c r="J21" s="1">
        <f>VLOOKUP(G21,[1]Registration!$B$3:$C$77,2,FALSE)</f>
        <v>10</v>
      </c>
      <c r="K21" s="1">
        <v>4</v>
      </c>
      <c r="L21" s="29">
        <f t="shared" si="1"/>
        <v>5.1031947978512852E-3</v>
      </c>
    </row>
    <row r="22" spans="1:12" x14ac:dyDescent="0.35">
      <c r="A22" s="1">
        <v>19</v>
      </c>
      <c r="B22">
        <v>44</v>
      </c>
      <c r="C22" s="16">
        <v>0.11444444444444445</v>
      </c>
      <c r="D22" s="16">
        <f>'leg 2'!C22-'Leg 1'!C22</f>
        <v>6.8402777777777785E-2</v>
      </c>
      <c r="E22" s="1">
        <f>VLOOKUP(B22,Registration!$B$3:$C$77,2,FALSE)</f>
        <v>8</v>
      </c>
      <c r="F22" s="1">
        <v>19</v>
      </c>
      <c r="G22">
        <v>44</v>
      </c>
      <c r="H22" s="16">
        <v>0.11444444444444445</v>
      </c>
      <c r="I22" s="16">
        <f>H22-'Leg 1'!C34</f>
        <v>6.2650462962962963E-2</v>
      </c>
      <c r="J22" s="1">
        <f>VLOOKUP(G22,[1]Registration!$B$3:$C$77,2,FALSE)</f>
        <v>8</v>
      </c>
      <c r="K22" s="1">
        <v>4</v>
      </c>
      <c r="L22" s="29">
        <f t="shared" si="1"/>
        <v>4.7824780887757989E-3</v>
      </c>
    </row>
    <row r="23" spans="1:12" x14ac:dyDescent="0.35">
      <c r="A23" s="1">
        <v>20</v>
      </c>
      <c r="B23">
        <v>22</v>
      </c>
      <c r="C23" s="16">
        <v>0.11488425925925926</v>
      </c>
      <c r="D23" s="16">
        <f>'leg 2'!C23-'Leg 1'!C23</f>
        <v>6.8495370370370373E-2</v>
      </c>
      <c r="E23" s="1">
        <f>VLOOKUP(B23,Registration!$B$3:$C$77,2,FALSE)</f>
        <v>7</v>
      </c>
      <c r="F23" s="1">
        <v>20</v>
      </c>
      <c r="G23">
        <v>22</v>
      </c>
      <c r="H23" s="16">
        <v>0.11488425925925926</v>
      </c>
      <c r="I23" s="16">
        <f>H23-'Leg 1'!C18</f>
        <v>7.0729166666666662E-2</v>
      </c>
      <c r="J23" s="1">
        <f>VLOOKUP(G23,[1]Registration!$B$3:$C$77,2,FALSE)</f>
        <v>7</v>
      </c>
      <c r="K23" s="1">
        <v>1</v>
      </c>
      <c r="L23" s="29">
        <f t="shared" si="1"/>
        <v>5.3991730279898216E-3</v>
      </c>
    </row>
    <row r="24" spans="1:12" x14ac:dyDescent="0.35">
      <c r="A24" s="1">
        <v>21</v>
      </c>
      <c r="B24">
        <v>53</v>
      </c>
      <c r="C24" s="16">
        <v>0.11509259259259259</v>
      </c>
      <c r="D24" s="16">
        <f>'leg 2'!C24-'Leg 1'!C24</f>
        <v>6.8564814814814815E-2</v>
      </c>
      <c r="E24" s="1">
        <f>VLOOKUP(B24,Registration!$B$3:$C$77,2,FALSE)</f>
        <v>9</v>
      </c>
      <c r="F24" s="1">
        <v>21</v>
      </c>
      <c r="G24">
        <v>53</v>
      </c>
      <c r="H24" s="16">
        <v>0.11509259259259259</v>
      </c>
      <c r="I24" s="16">
        <f>H24-'Leg 1'!C29</f>
        <v>6.6712962962962974E-2</v>
      </c>
      <c r="J24" s="1">
        <f>VLOOKUP(G24,[1]Registration!$B$3:$C$77,2,FALSE)</f>
        <v>9</v>
      </c>
      <c r="K24" s="1">
        <v>2</v>
      </c>
      <c r="L24" s="29">
        <f t="shared" si="1"/>
        <v>5.0925925925925939E-3</v>
      </c>
    </row>
    <row r="25" spans="1:12" x14ac:dyDescent="0.35">
      <c r="A25" s="1">
        <v>22</v>
      </c>
      <c r="B25">
        <v>62</v>
      </c>
      <c r="C25" s="16">
        <v>0.11592592592592592</v>
      </c>
      <c r="D25" s="16">
        <f>'leg 2'!C25-'Leg 1'!C25</f>
        <v>6.9201388888888882E-2</v>
      </c>
      <c r="E25" s="1">
        <f>VLOOKUP(B25,Registration!$B$3:$C$77,2,FALSE)</f>
        <v>10</v>
      </c>
      <c r="F25" s="1">
        <v>22</v>
      </c>
      <c r="G25">
        <v>62</v>
      </c>
      <c r="H25" s="16">
        <v>0.11592592592592592</v>
      </c>
      <c r="I25" s="16">
        <f>H25-'Leg 1'!C24</f>
        <v>6.9398148148148139E-2</v>
      </c>
      <c r="J25" s="1">
        <f>VLOOKUP(G25,[1]Registration!$B$3:$C$77,2,FALSE)</f>
        <v>10</v>
      </c>
      <c r="K25" s="1">
        <v>4</v>
      </c>
      <c r="L25" s="29">
        <f t="shared" si="1"/>
        <v>5.2975685609273392E-3</v>
      </c>
    </row>
    <row r="26" spans="1:12" x14ac:dyDescent="0.35">
      <c r="A26" s="1">
        <v>23</v>
      </c>
      <c r="B26">
        <v>34</v>
      </c>
      <c r="C26" s="16">
        <v>0.11775462962962963</v>
      </c>
      <c r="D26" s="16">
        <f>'leg 2'!C26-'Leg 1'!C26</f>
        <v>7.013888888888889E-2</v>
      </c>
      <c r="E26" s="1">
        <f>VLOOKUP(B26,Registration!$B$3:$C$77,2,FALSE)</f>
        <v>8</v>
      </c>
      <c r="F26" s="1">
        <v>23</v>
      </c>
      <c r="G26">
        <v>34</v>
      </c>
      <c r="H26" s="16">
        <v>0.11775462962962963</v>
      </c>
      <c r="I26" s="16">
        <f>H26-'Leg 1'!C26</f>
        <v>7.013888888888889E-2</v>
      </c>
      <c r="J26" s="1">
        <f>VLOOKUP(G26,[1]Registration!$B$3:$C$77,2,FALSE)</f>
        <v>8</v>
      </c>
      <c r="K26" s="1">
        <v>5</v>
      </c>
      <c r="L26" s="29">
        <f t="shared" si="1"/>
        <v>5.3541136556403733E-3</v>
      </c>
    </row>
    <row r="27" spans="1:12" x14ac:dyDescent="0.35">
      <c r="A27" s="1">
        <v>24</v>
      </c>
      <c r="B27">
        <v>15</v>
      </c>
      <c r="C27" s="16">
        <v>0.11988425925925926</v>
      </c>
      <c r="D27" s="16">
        <f>'leg 2'!C27-'Leg 1'!C27</f>
        <v>7.1898148148148155E-2</v>
      </c>
      <c r="E27" s="1">
        <f>VLOOKUP(B27,Registration!$B$3:$C$77,2,FALSE)</f>
        <v>6</v>
      </c>
      <c r="F27" s="1">
        <v>24</v>
      </c>
      <c r="G27">
        <v>15</v>
      </c>
      <c r="H27" s="16">
        <v>0.11988425925925926</v>
      </c>
      <c r="I27" s="16">
        <f>H27-'Leg 1'!C45</f>
        <v>6.4710648148148142E-2</v>
      </c>
      <c r="J27" s="1">
        <f>VLOOKUP(G27,[1]Registration!$B$3:$C$77,2,FALSE)</f>
        <v>6</v>
      </c>
      <c r="K27" s="1">
        <v>3</v>
      </c>
      <c r="L27" s="29">
        <f t="shared" si="1"/>
        <v>4.9397441334464234E-3</v>
      </c>
    </row>
    <row r="28" spans="1:12" x14ac:dyDescent="0.35">
      <c r="A28" s="1">
        <v>25</v>
      </c>
      <c r="B28">
        <v>30</v>
      </c>
      <c r="C28" s="16">
        <v>0.12069444444444444</v>
      </c>
      <c r="D28" s="16">
        <f>'leg 2'!C28-'Leg 1'!C28</f>
        <v>7.2453703703703687E-2</v>
      </c>
      <c r="E28" s="1">
        <f>VLOOKUP(B28,Registration!$B$3:$C$77,2,FALSE)</f>
        <v>8</v>
      </c>
      <c r="F28" s="1">
        <v>25</v>
      </c>
      <c r="G28">
        <v>30</v>
      </c>
      <c r="H28" s="16">
        <v>0.12069444444444444</v>
      </c>
      <c r="I28" s="16">
        <f>H28-'Leg 1'!C41</f>
        <v>6.7291666666666666E-2</v>
      </c>
      <c r="J28" s="1">
        <f>VLOOKUP(G28,[1]Registration!$B$3:$C$77,2,FALSE)</f>
        <v>8</v>
      </c>
      <c r="K28" s="1">
        <v>6</v>
      </c>
      <c r="L28" s="29">
        <f t="shared" si="1"/>
        <v>5.1367684478371501E-3</v>
      </c>
    </row>
    <row r="29" spans="1:12" x14ac:dyDescent="0.35">
      <c r="A29" s="1">
        <v>26</v>
      </c>
      <c r="B29">
        <v>46</v>
      </c>
      <c r="C29" s="16">
        <v>0.12155092592592592</v>
      </c>
      <c r="D29" s="16">
        <f>'leg 2'!C29-'Leg 1'!C29</f>
        <v>7.317129629629629E-2</v>
      </c>
      <c r="E29" s="1">
        <f>VLOOKUP(B29,Registration!$B$3:$C$77,2,FALSE)</f>
        <v>8</v>
      </c>
      <c r="F29" s="1">
        <v>26</v>
      </c>
      <c r="G29">
        <v>46</v>
      </c>
      <c r="H29" s="16">
        <v>0.12155092592592592</v>
      </c>
      <c r="I29" s="16">
        <f>H29-'Leg 1'!C22</f>
        <v>7.5509259259259248E-2</v>
      </c>
      <c r="J29" s="1">
        <f>VLOOKUP(G29,[1]Registration!$B$3:$C$77,2,FALSE)</f>
        <v>8</v>
      </c>
      <c r="K29" s="1">
        <v>7</v>
      </c>
      <c r="L29" s="29">
        <f t="shared" si="1"/>
        <v>5.7640655923098666E-3</v>
      </c>
    </row>
    <row r="30" spans="1:12" x14ac:dyDescent="0.35">
      <c r="A30" s="1">
        <v>27</v>
      </c>
      <c r="B30">
        <v>56</v>
      </c>
      <c r="C30" s="16">
        <v>0.12405092592592593</v>
      </c>
      <c r="D30" s="16">
        <f>'leg 2'!C30-'Leg 1'!C30</f>
        <v>7.5347222222222232E-2</v>
      </c>
      <c r="E30" s="1">
        <f>VLOOKUP(B30,Registration!$B$3:$C$77,2,FALSE)</f>
        <v>9</v>
      </c>
      <c r="F30" s="1">
        <v>27</v>
      </c>
      <c r="G30">
        <v>56</v>
      </c>
      <c r="H30" s="16">
        <v>0.12405092592592593</v>
      </c>
      <c r="I30" s="16">
        <f>H30-'Leg 1'!C33</f>
        <v>7.2766203703703708E-2</v>
      </c>
      <c r="J30" s="1">
        <f>VLOOKUP(G30,[1]Registration!$B$3:$C$77,2,FALSE)</f>
        <v>9</v>
      </c>
      <c r="K30" s="1">
        <v>3</v>
      </c>
      <c r="L30" s="29">
        <f t="shared" si="1"/>
        <v>5.5546720384506646E-3</v>
      </c>
    </row>
    <row r="31" spans="1:12" x14ac:dyDescent="0.35">
      <c r="A31" s="1">
        <v>28</v>
      </c>
      <c r="B31">
        <v>29</v>
      </c>
      <c r="C31" s="16">
        <v>0.1245949074074074</v>
      </c>
      <c r="D31" s="16">
        <f>'leg 2'!C31-'Leg 1'!C31</f>
        <v>7.4780092592592592E-2</v>
      </c>
      <c r="E31" s="1">
        <f>VLOOKUP(B31,Registration!$B$3:$C$77,2,FALSE)</f>
        <v>8</v>
      </c>
      <c r="F31" s="1">
        <v>28</v>
      </c>
      <c r="G31">
        <v>29</v>
      </c>
      <c r="H31" s="16">
        <v>0.1245949074074074</v>
      </c>
      <c r="I31" s="16">
        <f>H31-'Leg 1'!C48</f>
        <v>6.8009259259259255E-2</v>
      </c>
      <c r="J31" s="1">
        <f>VLOOKUP(G31,[1]Registration!$B$3:$C$77,2,FALSE)</f>
        <v>8</v>
      </c>
      <c r="K31" s="1">
        <v>8</v>
      </c>
      <c r="L31" s="29">
        <f t="shared" si="1"/>
        <v>5.191546508340401E-3</v>
      </c>
    </row>
    <row r="32" spans="1:12" x14ac:dyDescent="0.35">
      <c r="A32" s="1">
        <v>29</v>
      </c>
      <c r="B32">
        <v>31</v>
      </c>
      <c r="C32" s="16">
        <v>0.12525462962962963</v>
      </c>
      <c r="D32" s="16">
        <f>'leg 2'!C32-'Leg 1'!C32</f>
        <v>7.4085648148148137E-2</v>
      </c>
      <c r="E32" s="1">
        <f>VLOOKUP(B32,Registration!$B$3:$C$77,2,FALSE)</f>
        <v>8</v>
      </c>
      <c r="F32" s="1">
        <v>29</v>
      </c>
      <c r="G32">
        <v>31</v>
      </c>
      <c r="H32" s="16">
        <v>0.12525462962962963</v>
      </c>
      <c r="I32" s="16">
        <f>H32-'Leg 1'!C37</f>
        <v>7.2650462962962958E-2</v>
      </c>
      <c r="J32" s="1">
        <f>VLOOKUP(G32,[1]Registration!$B$3:$C$77,2,FALSE)</f>
        <v>8</v>
      </c>
      <c r="K32" s="1">
        <v>9</v>
      </c>
      <c r="L32" s="29">
        <f t="shared" si="1"/>
        <v>5.545836867401753E-3</v>
      </c>
    </row>
    <row r="33" spans="1:12" x14ac:dyDescent="0.35">
      <c r="A33" s="1">
        <v>30</v>
      </c>
      <c r="B33">
        <v>25</v>
      </c>
      <c r="C33" s="16">
        <v>0.12584490740740742</v>
      </c>
      <c r="D33" s="16">
        <f>'leg 2'!C33-'Leg 1'!C33</f>
        <v>7.4560185185185202E-2</v>
      </c>
      <c r="E33" s="1">
        <f>VLOOKUP(B33,Registration!$B$3:$C$77,2,FALSE)</f>
        <v>7</v>
      </c>
      <c r="F33" s="1">
        <v>30</v>
      </c>
      <c r="G33">
        <v>25</v>
      </c>
      <c r="H33" s="16">
        <v>0.12584490740740742</v>
      </c>
      <c r="I33" s="16">
        <f>H33-'Leg 1'!C30</f>
        <v>7.7141203703703726E-2</v>
      </c>
      <c r="J33" s="1">
        <f>VLOOKUP(G33,[1]Registration!$B$3:$C$77,2,FALSE)</f>
        <v>7</v>
      </c>
      <c r="K33" s="1">
        <v>2</v>
      </c>
      <c r="L33" s="29">
        <f t="shared" si="1"/>
        <v>5.8886415040995208E-3</v>
      </c>
    </row>
    <row r="34" spans="1:12" x14ac:dyDescent="0.35">
      <c r="A34" s="1">
        <v>31</v>
      </c>
      <c r="B34">
        <v>57</v>
      </c>
      <c r="C34" s="16">
        <v>0.1260185185185185</v>
      </c>
      <c r="D34" s="16">
        <f>'leg 2'!C34-'Leg 1'!C34</f>
        <v>7.4224537037037019E-2</v>
      </c>
      <c r="E34" s="1">
        <f>VLOOKUP(B34,Registration!$B$3:$C$77,2,FALSE)</f>
        <v>9</v>
      </c>
      <c r="F34" s="1">
        <v>31</v>
      </c>
      <c r="G34">
        <v>57</v>
      </c>
      <c r="H34" s="16">
        <v>0.1260185185185185</v>
      </c>
      <c r="I34" s="16">
        <f>H34-'Leg 1'!C33</f>
        <v>7.4733796296296284E-2</v>
      </c>
      <c r="J34" s="1">
        <f>VLOOKUP(G34,[1]Registration!$B$3:$C$77,2,FALSE)</f>
        <v>9</v>
      </c>
      <c r="K34" s="1">
        <v>4</v>
      </c>
      <c r="L34" s="29">
        <f t="shared" si="1"/>
        <v>5.704869946282159E-3</v>
      </c>
    </row>
    <row r="35" spans="1:12" x14ac:dyDescent="0.35">
      <c r="A35" s="1">
        <v>32</v>
      </c>
      <c r="B35">
        <v>20</v>
      </c>
      <c r="C35" s="16">
        <v>0.12658564814814816</v>
      </c>
      <c r="D35" s="16">
        <f>'leg 2'!C35-'Leg 1'!C35</f>
        <v>7.4710648148148151E-2</v>
      </c>
      <c r="E35" s="1">
        <f>VLOOKUP(B35,Registration!$B$3:$C$77,2,FALSE)</f>
        <v>6</v>
      </c>
      <c r="F35" s="1">
        <v>32</v>
      </c>
      <c r="G35">
        <v>20</v>
      </c>
      <c r="H35" s="16">
        <v>0.12658564814814816</v>
      </c>
      <c r="I35" s="16">
        <f>H35-'Leg 1'!C31</f>
        <v>7.6770833333333344E-2</v>
      </c>
      <c r="J35" s="1">
        <f>VLOOKUP(G35,[1]Registration!$B$3:$C$77,2,FALSE)</f>
        <v>6</v>
      </c>
      <c r="K35" s="1">
        <v>4</v>
      </c>
      <c r="L35" s="29">
        <f t="shared" si="1"/>
        <v>5.8603689567430037E-3</v>
      </c>
    </row>
    <row r="36" spans="1:12" x14ac:dyDescent="0.35">
      <c r="A36" s="1">
        <v>33</v>
      </c>
      <c r="B36">
        <v>32</v>
      </c>
      <c r="C36" s="16">
        <v>0.12682870370370372</v>
      </c>
      <c r="D36" s="16">
        <f>'leg 2'!C36-'Leg 1'!C36</f>
        <v>7.4386574074074091E-2</v>
      </c>
      <c r="E36" s="1">
        <f>VLOOKUP(B36,Registration!$B$3:$C$77,2,FALSE)</f>
        <v>8</v>
      </c>
      <c r="F36" s="1">
        <v>33</v>
      </c>
      <c r="G36">
        <v>32</v>
      </c>
      <c r="H36" s="16">
        <v>0.12682870370370372</v>
      </c>
      <c r="I36" s="16">
        <f>H36-'Leg 1'!C20</f>
        <v>8.2118055555555569E-2</v>
      </c>
      <c r="J36" s="1">
        <f>VLOOKUP(G36,[1]Registration!$B$3:$C$77,2,FALSE)</f>
        <v>8</v>
      </c>
      <c r="K36" s="1">
        <v>10</v>
      </c>
      <c r="L36" s="29">
        <f t="shared" si="1"/>
        <v>6.2685538592027155E-3</v>
      </c>
    </row>
    <row r="37" spans="1:12" x14ac:dyDescent="0.35">
      <c r="A37" s="1">
        <v>34</v>
      </c>
      <c r="B37">
        <v>16</v>
      </c>
      <c r="C37" s="16">
        <v>0.12887731481481482</v>
      </c>
      <c r="D37" s="16">
        <f>'leg 2'!C37-'Leg 1'!C37</f>
        <v>7.6273148148148145E-2</v>
      </c>
      <c r="E37" s="1">
        <f>VLOOKUP(B37,Registration!$B$3:$C$77,2,FALSE)</f>
        <v>6</v>
      </c>
      <c r="F37" s="1">
        <v>34</v>
      </c>
      <c r="G37">
        <v>16</v>
      </c>
      <c r="H37" s="16">
        <v>0.12887731481481482</v>
      </c>
      <c r="I37" s="16">
        <f>H37-'Leg 1'!C39</f>
        <v>7.5972222222222219E-2</v>
      </c>
      <c r="J37" s="1">
        <f>VLOOKUP(G37,[1]Registration!$B$3:$C$77,2,FALSE)</f>
        <v>6</v>
      </c>
      <c r="K37" s="1">
        <v>4</v>
      </c>
      <c r="L37" s="29">
        <f t="shared" ref="L37:L67" si="2">I37/13.1</f>
        <v>5.7994062765055129E-3</v>
      </c>
    </row>
    <row r="38" spans="1:12" x14ac:dyDescent="0.35">
      <c r="A38" s="1">
        <v>35</v>
      </c>
      <c r="B38">
        <v>61</v>
      </c>
      <c r="C38" s="16">
        <v>0.13016203703703702</v>
      </c>
      <c r="D38" s="16">
        <f>'leg 2'!C38-'Leg 1'!C38</f>
        <v>7.754629629629628E-2</v>
      </c>
      <c r="E38" s="1">
        <f>VLOOKUP(B38,Registration!$B$3:$C$77,2,FALSE)</f>
        <v>10</v>
      </c>
      <c r="F38" s="1">
        <v>35</v>
      </c>
      <c r="G38">
        <v>61</v>
      </c>
      <c r="H38" s="16">
        <v>0.13016203703703702</v>
      </c>
      <c r="I38" s="16">
        <f>H38-'Leg 1'!C35</f>
        <v>7.8287037037037016E-2</v>
      </c>
      <c r="J38" s="1">
        <f>VLOOKUP(G38,[1]Registration!$B$3:$C$77,2,FALSE)</f>
        <v>10</v>
      </c>
      <c r="K38" s="1">
        <v>5</v>
      </c>
      <c r="L38" s="29">
        <f t="shared" si="2"/>
        <v>5.9761096974837421E-3</v>
      </c>
    </row>
    <row r="39" spans="1:12" x14ac:dyDescent="0.35">
      <c r="A39" s="1">
        <v>36</v>
      </c>
      <c r="B39">
        <v>33</v>
      </c>
      <c r="C39" s="16">
        <v>0.13027777777777777</v>
      </c>
      <c r="D39" s="16">
        <f>'leg 2'!C39-'Leg 1'!C39</f>
        <v>7.7372685185185169E-2</v>
      </c>
      <c r="E39" s="1">
        <f>VLOOKUP(B39,Registration!$B$3:$C$77,2,FALSE)</f>
        <v>8</v>
      </c>
      <c r="F39" s="1">
        <v>36</v>
      </c>
      <c r="G39">
        <v>33</v>
      </c>
      <c r="H39" s="16">
        <v>0.13027777777777777</v>
      </c>
      <c r="I39" s="16">
        <f>H39-'Leg 1'!C57</f>
        <v>6.8842592592592594E-2</v>
      </c>
      <c r="J39" s="1">
        <f>VLOOKUP(G39,[1]Registration!$B$3:$C$77,2,FALSE)</f>
        <v>8</v>
      </c>
      <c r="K39" s="1">
        <v>11</v>
      </c>
      <c r="L39" s="29">
        <f t="shared" si="2"/>
        <v>5.2551597398925644E-3</v>
      </c>
    </row>
    <row r="40" spans="1:12" x14ac:dyDescent="0.35">
      <c r="A40" s="1">
        <v>37</v>
      </c>
      <c r="B40">
        <v>11</v>
      </c>
      <c r="C40" s="16">
        <v>0.13347222222222221</v>
      </c>
      <c r="D40" s="16">
        <f>'leg 2'!C40-'Leg 1'!C40</f>
        <v>8.0185185185185165E-2</v>
      </c>
      <c r="E40" s="1">
        <f>VLOOKUP(B40,Registration!$B$3:$C$77,2,FALSE)</f>
        <v>3</v>
      </c>
      <c r="F40" s="1">
        <v>37</v>
      </c>
      <c r="G40">
        <v>11</v>
      </c>
      <c r="H40" s="16">
        <v>0.13347222222222221</v>
      </c>
      <c r="I40" s="16">
        <f>H40-'Leg 1'!C36</f>
        <v>8.1030092592592584E-2</v>
      </c>
      <c r="J40" s="1">
        <f>VLOOKUP(G40,[1]Registration!$B$3:$C$77,2,FALSE)</f>
        <v>3</v>
      </c>
      <c r="K40" s="1">
        <v>1</v>
      </c>
      <c r="L40" s="29">
        <f t="shared" si="2"/>
        <v>6.1855032513429458E-3</v>
      </c>
    </row>
    <row r="41" spans="1:12" x14ac:dyDescent="0.35">
      <c r="A41" s="1">
        <v>38</v>
      </c>
      <c r="B41">
        <v>60</v>
      </c>
      <c r="C41" s="16">
        <v>0.13421296296296295</v>
      </c>
      <c r="D41" s="16">
        <f>'leg 2'!C41-'Leg 1'!C41</f>
        <v>8.0810185185185179E-2</v>
      </c>
      <c r="E41" s="1">
        <f>VLOOKUP(B41,Registration!$B$3:$C$77,2,FALSE)</f>
        <v>10</v>
      </c>
      <c r="F41" s="1">
        <v>38</v>
      </c>
      <c r="G41">
        <v>60</v>
      </c>
      <c r="H41" s="16">
        <v>0.13421296296296295</v>
      </c>
      <c r="I41" s="16">
        <f>H41-'Leg 1'!C32</f>
        <v>8.3043981481481455E-2</v>
      </c>
      <c r="J41" s="1">
        <f>VLOOKUP(G41,[1]Registration!$B$3:$C$77,2,FALSE)</f>
        <v>10</v>
      </c>
      <c r="K41" s="1">
        <v>6</v>
      </c>
      <c r="L41" s="29">
        <f t="shared" si="2"/>
        <v>6.3392352275940048E-3</v>
      </c>
    </row>
    <row r="42" spans="1:12" x14ac:dyDescent="0.35">
      <c r="A42" s="1">
        <v>39</v>
      </c>
      <c r="B42">
        <v>41</v>
      </c>
      <c r="C42" s="16">
        <v>0.13475694444444444</v>
      </c>
      <c r="D42" s="16">
        <f>'leg 2'!C42-'Leg 1'!C42</f>
        <v>8.1041666666666679E-2</v>
      </c>
      <c r="E42" s="1">
        <f>VLOOKUP(B42,Registration!$B$3:$C$77,2,FALSE)</f>
        <v>8</v>
      </c>
      <c r="F42" s="1">
        <v>39</v>
      </c>
      <c r="G42">
        <v>41</v>
      </c>
      <c r="H42" s="16">
        <v>0.13475694444444444</v>
      </c>
      <c r="I42" s="16"/>
      <c r="J42" s="1">
        <f>VLOOKUP(G42,[1]Registration!$B$3:$C$77,2,FALSE)</f>
        <v>8</v>
      </c>
      <c r="K42" s="1">
        <v>11</v>
      </c>
      <c r="L42" s="29">
        <f t="shared" si="2"/>
        <v>0</v>
      </c>
    </row>
    <row r="43" spans="1:12" x14ac:dyDescent="0.35">
      <c r="A43" s="1">
        <v>40</v>
      </c>
      <c r="B43">
        <v>19</v>
      </c>
      <c r="C43" s="16">
        <v>0.13479166666666667</v>
      </c>
      <c r="D43" s="16">
        <f>'leg 2'!C43-'Leg 1'!C43</f>
        <v>8.098379629629629E-2</v>
      </c>
      <c r="E43" s="1">
        <f>VLOOKUP(B43,Registration!$B$3:$C$77,2,FALSE)</f>
        <v>6</v>
      </c>
      <c r="F43" s="1">
        <v>40</v>
      </c>
      <c r="G43">
        <v>19</v>
      </c>
      <c r="H43" s="16">
        <v>0.13479166666666667</v>
      </c>
      <c r="I43" s="16">
        <f>H43-'Leg 1'!C12</f>
        <v>9.5196759259259273E-2</v>
      </c>
      <c r="J43" s="1">
        <f>VLOOKUP(G43,[1]Registration!$B$3:$C$77,2,FALSE)</f>
        <v>6</v>
      </c>
      <c r="K43" s="1">
        <v>5</v>
      </c>
      <c r="L43" s="29">
        <f t="shared" si="2"/>
        <v>7.2669281877297161E-3</v>
      </c>
    </row>
    <row r="44" spans="1:12" x14ac:dyDescent="0.35">
      <c r="A44" s="1">
        <v>41</v>
      </c>
      <c r="B44">
        <v>64</v>
      </c>
      <c r="C44" s="16">
        <v>0.13488425925925926</v>
      </c>
      <c r="D44" s="16">
        <f>'leg 2'!C44-'Leg 1'!C44</f>
        <v>8.0381944444444436E-2</v>
      </c>
      <c r="E44" s="1">
        <f>VLOOKUP(B44,Registration!$B$3:$C$77,2,FALSE)</f>
        <v>10</v>
      </c>
      <c r="F44" s="1">
        <v>41</v>
      </c>
      <c r="G44">
        <v>64</v>
      </c>
      <c r="H44" s="16">
        <v>0.13488425925925926</v>
      </c>
      <c r="I44" s="16">
        <f>H44-'Leg 1'!C40</f>
        <v>8.159722222222221E-2</v>
      </c>
      <c r="J44" s="1">
        <f>VLOOKUP(G44,[1]Registration!$B$3:$C$77,2,FALSE)</f>
        <v>10</v>
      </c>
      <c r="K44" s="1">
        <v>12</v>
      </c>
      <c r="L44" s="29">
        <f t="shared" si="2"/>
        <v>6.2287955894826117E-3</v>
      </c>
    </row>
    <row r="45" spans="1:12" x14ac:dyDescent="0.35">
      <c r="A45" s="1">
        <v>42</v>
      </c>
      <c r="B45">
        <v>49</v>
      </c>
      <c r="C45" s="16">
        <v>0.13503472222222221</v>
      </c>
      <c r="D45" s="16">
        <f>'leg 2'!C45-'Leg 1'!C45</f>
        <v>7.9861111111111105E-2</v>
      </c>
      <c r="E45" s="1">
        <f>VLOOKUP(B45,Registration!$B$3:$C$77,2,FALSE)</f>
        <v>9</v>
      </c>
      <c r="F45" s="1">
        <v>42</v>
      </c>
      <c r="G45">
        <v>49</v>
      </c>
      <c r="H45" s="16">
        <v>0.13503472222222221</v>
      </c>
      <c r="I45" s="16">
        <f>H45-'Leg 1'!C49</f>
        <v>7.8379629629629605E-2</v>
      </c>
      <c r="J45" s="1">
        <f>VLOOKUP(G45,[1]Registration!$B$3:$C$77,2,FALSE)</f>
        <v>9</v>
      </c>
      <c r="K45" s="1">
        <v>5</v>
      </c>
      <c r="L45" s="29">
        <f t="shared" si="2"/>
        <v>5.9831778343228705E-3</v>
      </c>
    </row>
    <row r="46" spans="1:12" x14ac:dyDescent="0.35">
      <c r="A46" s="1">
        <v>43</v>
      </c>
      <c r="B46">
        <v>39</v>
      </c>
      <c r="C46" s="16">
        <v>0.13626157407407408</v>
      </c>
      <c r="D46" s="16">
        <f>'leg 2'!C46-'Leg 1'!C46</f>
        <v>8.0717592592592591E-2</v>
      </c>
      <c r="E46" s="1">
        <f>VLOOKUP(B46,Registration!$B$3:$C$77,2,FALSE)</f>
        <v>8</v>
      </c>
      <c r="F46" s="1">
        <v>43</v>
      </c>
      <c r="G46">
        <v>39</v>
      </c>
      <c r="H46" s="16">
        <v>0.13626157407407408</v>
      </c>
      <c r="I46" s="16">
        <f>H46-'Leg 1'!C28</f>
        <v>8.8020833333333326E-2</v>
      </c>
      <c r="J46" s="1">
        <f>VLOOKUP(G46,[1]Registration!$B$3:$C$77,2,FALSE)</f>
        <v>8</v>
      </c>
      <c r="K46" s="1">
        <v>11</v>
      </c>
      <c r="L46" s="29">
        <f t="shared" si="2"/>
        <v>6.7191475826972004E-3</v>
      </c>
    </row>
    <row r="47" spans="1:12" x14ac:dyDescent="0.35">
      <c r="A47" s="1">
        <v>44</v>
      </c>
      <c r="B47">
        <v>21</v>
      </c>
      <c r="C47" s="16">
        <v>0.13974537037037038</v>
      </c>
      <c r="D47" s="16">
        <f>'leg 2'!C47-'Leg 1'!C47</f>
        <v>8.3738425925925924E-2</v>
      </c>
      <c r="E47" s="1">
        <f>VLOOKUP(B47,Registration!$B$3:$C$77,2,FALSE)</f>
        <v>7</v>
      </c>
      <c r="F47" s="1">
        <v>44</v>
      </c>
      <c r="G47">
        <v>21</v>
      </c>
      <c r="H47" s="16">
        <v>0.13974537037037038</v>
      </c>
      <c r="I47" s="16">
        <f>H47-'Leg 1'!C27</f>
        <v>9.1759259259259263E-2</v>
      </c>
      <c r="J47" s="1">
        <f>VLOOKUP(G47,[1]Registration!$B$3:$C$77,2,FALSE)</f>
        <v>7</v>
      </c>
      <c r="K47" s="1">
        <v>3</v>
      </c>
      <c r="L47" s="29">
        <f t="shared" si="2"/>
        <v>7.0045236075770428E-3</v>
      </c>
    </row>
    <row r="48" spans="1:12" x14ac:dyDescent="0.35">
      <c r="A48" s="1">
        <v>45</v>
      </c>
      <c r="B48">
        <v>10</v>
      </c>
      <c r="C48" s="16">
        <v>0.140625</v>
      </c>
      <c r="D48" s="16">
        <f>'leg 2'!C48-'Leg 1'!C48</f>
        <v>8.4039351851851851E-2</v>
      </c>
      <c r="E48" s="1">
        <f>VLOOKUP(B48,Registration!$B$3:$C$77,2,FALSE)</f>
        <v>3</v>
      </c>
      <c r="F48" s="1">
        <v>45</v>
      </c>
      <c r="G48">
        <v>10</v>
      </c>
      <c r="H48" s="16">
        <v>0.140625</v>
      </c>
      <c r="I48" s="16">
        <f>H48-'Leg 1'!C43</f>
        <v>8.6817129629629619E-2</v>
      </c>
      <c r="J48" s="1">
        <f>VLOOKUP(G48,[1]Registration!$B$3:$C$77,2,FALSE)</f>
        <v>3</v>
      </c>
      <c r="K48" s="1">
        <v>2</v>
      </c>
      <c r="L48" s="29">
        <f t="shared" si="2"/>
        <v>6.6272618037885207E-3</v>
      </c>
    </row>
    <row r="49" spans="1:12" x14ac:dyDescent="0.35">
      <c r="A49" s="1">
        <v>46</v>
      </c>
      <c r="B49">
        <v>14</v>
      </c>
      <c r="C49" s="16">
        <v>0.14123842592592592</v>
      </c>
      <c r="D49" s="16">
        <f>'leg 2'!C49-'Leg 1'!C49</f>
        <v>8.4583333333333316E-2</v>
      </c>
      <c r="E49" s="1">
        <f>VLOOKUP(B49,Registration!$B$3:$C$77,2,FALSE)</f>
        <v>5</v>
      </c>
      <c r="F49" s="1">
        <v>46</v>
      </c>
      <c r="G49">
        <v>14</v>
      </c>
      <c r="H49" s="16">
        <v>0.14123842592592592</v>
      </c>
      <c r="I49" s="16">
        <f>H49-'Leg 1'!C50</f>
        <v>8.4502314814814822E-2</v>
      </c>
      <c r="J49" s="1">
        <f>VLOOKUP(G49,[1]Registration!$B$3:$C$77,2,FALSE)</f>
        <v>5</v>
      </c>
      <c r="K49" s="1">
        <v>1</v>
      </c>
      <c r="L49" s="29">
        <f t="shared" si="2"/>
        <v>6.4505583828102916E-3</v>
      </c>
    </row>
    <row r="50" spans="1:12" x14ac:dyDescent="0.35">
      <c r="A50" s="1">
        <v>47</v>
      </c>
      <c r="B50">
        <v>24</v>
      </c>
      <c r="C50" s="16">
        <v>0.1434375</v>
      </c>
      <c r="D50" s="16">
        <f>'leg 2'!C50-'Leg 1'!C50</f>
        <v>8.6701388888888897E-2</v>
      </c>
      <c r="E50" s="1">
        <f>VLOOKUP(B50,Registration!$B$3:$C$77,2,FALSE)</f>
        <v>7</v>
      </c>
      <c r="F50" s="1">
        <v>47</v>
      </c>
      <c r="G50">
        <v>24</v>
      </c>
      <c r="H50" s="16">
        <v>0.1434375</v>
      </c>
      <c r="I50" s="16">
        <f>H50-'Leg 1'!C56</f>
        <v>8.2638888888888873E-2</v>
      </c>
      <c r="J50" s="1">
        <f>VLOOKUP(G50,[1]Registration!$B$3:$C$77,2,FALSE)</f>
        <v>7</v>
      </c>
      <c r="K50" s="1">
        <v>4</v>
      </c>
      <c r="L50" s="29">
        <f t="shared" si="2"/>
        <v>6.3083121289228151E-3</v>
      </c>
    </row>
    <row r="51" spans="1:12" x14ac:dyDescent="0.35">
      <c r="A51" s="1">
        <v>48</v>
      </c>
      <c r="B51">
        <v>37</v>
      </c>
      <c r="C51" s="16">
        <v>0.14405092592592592</v>
      </c>
      <c r="D51" s="16">
        <f>'leg 2'!C51-'Leg 1'!C51</f>
        <v>8.6817129629629619E-2</v>
      </c>
      <c r="E51" s="1">
        <f>VLOOKUP(B51,Registration!$B$3:$C$77,2,FALSE)</f>
        <v>8</v>
      </c>
      <c r="F51" s="1">
        <v>48</v>
      </c>
      <c r="G51">
        <v>37</v>
      </c>
      <c r="H51" s="16">
        <v>0.14405092592592592</v>
      </c>
      <c r="I51" s="16">
        <f>H51-'Leg 1'!C54</f>
        <v>8.4525462962962955E-2</v>
      </c>
      <c r="J51" s="1">
        <f>VLOOKUP(G51,[1]Registration!$B$3:$C$77,2,FALSE)</f>
        <v>8</v>
      </c>
      <c r="K51" s="1">
        <v>12</v>
      </c>
      <c r="L51" s="29">
        <f t="shared" si="2"/>
        <v>6.4523254170200731E-3</v>
      </c>
    </row>
    <row r="52" spans="1:12" x14ac:dyDescent="0.35">
      <c r="A52" s="1">
        <v>49</v>
      </c>
      <c r="B52">
        <v>27</v>
      </c>
      <c r="C52" s="16">
        <v>0.14474537037037036</v>
      </c>
      <c r="D52" s="16">
        <f>'leg 2'!C52-'Leg 1'!C52</f>
        <v>8.6585648148148148E-2</v>
      </c>
      <c r="E52" s="1">
        <f>VLOOKUP(B52,Registration!$B$3:$C$77,2,FALSE)</f>
        <v>7</v>
      </c>
      <c r="F52" s="1">
        <v>49</v>
      </c>
      <c r="G52">
        <v>27</v>
      </c>
      <c r="H52" s="16">
        <v>0.14474537037037036</v>
      </c>
      <c r="I52" s="16">
        <f>H52-'Leg 1'!C53</f>
        <v>8.5416666666666641E-2</v>
      </c>
      <c r="J52" s="1">
        <f>VLOOKUP(G52,[1]Registration!$B$3:$C$77,2,FALSE)</f>
        <v>7</v>
      </c>
      <c r="K52" s="1">
        <v>5</v>
      </c>
      <c r="L52" s="29">
        <f t="shared" si="2"/>
        <v>6.5203562340966905E-3</v>
      </c>
    </row>
    <row r="53" spans="1:12" x14ac:dyDescent="0.35">
      <c r="A53" s="1">
        <v>50</v>
      </c>
      <c r="B53">
        <v>48</v>
      </c>
      <c r="C53" s="16">
        <v>0.14649305555555556</v>
      </c>
      <c r="D53" s="16">
        <f>'leg 2'!C53-'Leg 1'!C53</f>
        <v>8.716435185185184E-2</v>
      </c>
      <c r="E53" s="1">
        <f>VLOOKUP(B53,Registration!$B$3:$C$77,2,FALSE)</f>
        <v>9</v>
      </c>
      <c r="F53" s="1">
        <v>50</v>
      </c>
      <c r="G53">
        <v>48</v>
      </c>
      <c r="H53" s="16">
        <v>0.14649305555555556</v>
      </c>
      <c r="I53" s="16">
        <f>H53-'Leg 1'!C51</f>
        <v>8.925925925925926E-2</v>
      </c>
      <c r="J53" s="1">
        <f>VLOOKUP(G53,[1]Registration!$B$3:$C$77,2,FALSE)</f>
        <v>9</v>
      </c>
      <c r="K53" s="1">
        <v>6</v>
      </c>
      <c r="L53" s="29">
        <f t="shared" si="2"/>
        <v>6.8136839129205543E-3</v>
      </c>
    </row>
    <row r="54" spans="1:12" x14ac:dyDescent="0.35">
      <c r="A54" s="1">
        <v>51</v>
      </c>
      <c r="B54">
        <v>3</v>
      </c>
      <c r="C54" s="16">
        <v>0.14657407407407408</v>
      </c>
      <c r="D54" s="16">
        <f>'leg 2'!C54-'Leg 1'!C54</f>
        <v>8.7048611111111118E-2</v>
      </c>
      <c r="E54" s="1">
        <f>VLOOKUP(B54,Registration!$B$3:$C$77,2,FALSE)</f>
        <v>1</v>
      </c>
      <c r="F54" s="1">
        <v>51</v>
      </c>
      <c r="G54">
        <v>3</v>
      </c>
      <c r="H54" s="16">
        <v>0.14657407407407408</v>
      </c>
      <c r="I54" s="16">
        <f>H54-'Leg 1'!C46</f>
        <v>9.1030092592592593E-2</v>
      </c>
      <c r="J54" s="1">
        <f>VLOOKUP(G54,[1]Registration!$B$3:$C$77,2,FALSE)</f>
        <v>1</v>
      </c>
      <c r="K54" s="1">
        <v>8</v>
      </c>
      <c r="L54" s="29">
        <f t="shared" si="2"/>
        <v>6.9488620299689007E-3</v>
      </c>
    </row>
    <row r="55" spans="1:12" x14ac:dyDescent="0.35">
      <c r="A55" s="1">
        <v>52</v>
      </c>
      <c r="B55">
        <v>54</v>
      </c>
      <c r="C55" s="16">
        <v>0.14837962962962961</v>
      </c>
      <c r="D55" s="16">
        <f>'leg 2'!C55-'Leg 1'!C55</f>
        <v>8.883101851851849E-2</v>
      </c>
      <c r="E55" s="1">
        <f>VLOOKUP(B55,Registration!$B$3:$C$77,2,FALSE)</f>
        <v>9</v>
      </c>
      <c r="F55" s="1">
        <v>52</v>
      </c>
      <c r="G55">
        <v>54</v>
      </c>
      <c r="H55" s="16">
        <v>0.14837962962962961</v>
      </c>
      <c r="I55" s="16">
        <f>H55-'Leg 1'!C47</f>
        <v>9.2372685185185155E-2</v>
      </c>
      <c r="J55" s="1">
        <f>VLOOKUP(G55,[1]Registration!$B$3:$C$77,2,FALSE)</f>
        <v>9</v>
      </c>
      <c r="K55" s="1">
        <v>7</v>
      </c>
      <c r="L55" s="29">
        <f t="shared" si="2"/>
        <v>7.0513500141362716E-3</v>
      </c>
    </row>
    <row r="56" spans="1:12" x14ac:dyDescent="0.35">
      <c r="A56" s="1">
        <v>53</v>
      </c>
      <c r="B56">
        <v>69</v>
      </c>
      <c r="C56" s="16">
        <v>0.15026620370370369</v>
      </c>
      <c r="D56" s="16">
        <f>'leg 2'!C56-'Leg 1'!C56</f>
        <v>8.9467592592592571E-2</v>
      </c>
      <c r="E56" s="1">
        <f>VLOOKUP(B56,Registration!$B$3:$C$77,2,FALSE)</f>
        <v>10</v>
      </c>
      <c r="F56" s="1">
        <v>53</v>
      </c>
      <c r="G56">
        <v>69</v>
      </c>
      <c r="H56" s="16">
        <v>0.15026620370370369</v>
      </c>
      <c r="I56" s="16">
        <f>H56-'Leg 1'!C44</f>
        <v>9.5763888888888871E-2</v>
      </c>
      <c r="J56" s="1">
        <f>VLOOKUP(G56,[1]Registration!$B$3:$C$77,2,FALSE)</f>
        <v>10</v>
      </c>
      <c r="K56" s="1">
        <v>13</v>
      </c>
      <c r="L56" s="29">
        <f t="shared" si="2"/>
        <v>7.3102205258693794E-3</v>
      </c>
    </row>
    <row r="57" spans="1:12" x14ac:dyDescent="0.35">
      <c r="A57" s="1">
        <v>54</v>
      </c>
      <c r="B57">
        <v>52</v>
      </c>
      <c r="C57" s="16">
        <v>0.15292824074074074</v>
      </c>
      <c r="D57" s="16">
        <f>'leg 2'!C57-'Leg 1'!C57</f>
        <v>9.1493055555555564E-2</v>
      </c>
      <c r="E57" s="1">
        <f>VLOOKUP(B57,Registration!$B$3:$C$77,2,FALSE)</f>
        <v>9</v>
      </c>
      <c r="F57" s="1">
        <v>54</v>
      </c>
      <c r="G57">
        <v>52</v>
      </c>
      <c r="H57" s="16">
        <v>0.15292824074074074</v>
      </c>
      <c r="I57" s="16">
        <f>H57-'Leg 1'!C59</f>
        <v>9.0972222222222232E-2</v>
      </c>
      <c r="J57" s="1">
        <f>VLOOKUP(G57,[1]Registration!$B$3:$C$77,2,FALSE)</f>
        <v>9</v>
      </c>
      <c r="K57" s="1">
        <v>8</v>
      </c>
      <c r="L57" s="29">
        <f t="shared" si="2"/>
        <v>6.9444444444444458E-3</v>
      </c>
    </row>
    <row r="58" spans="1:12" x14ac:dyDescent="0.35">
      <c r="A58" s="1">
        <v>55</v>
      </c>
      <c r="B58">
        <v>28</v>
      </c>
      <c r="C58" s="16">
        <v>0.1534375</v>
      </c>
      <c r="D58" s="16">
        <f>'leg 2'!C58-'Leg 1'!C58</f>
        <v>9.162037037037038E-2</v>
      </c>
      <c r="E58" s="1">
        <f>VLOOKUP(B58,Registration!$B$3:$C$77,2,FALSE)</f>
        <v>7</v>
      </c>
      <c r="F58" s="1">
        <v>55</v>
      </c>
      <c r="G58">
        <v>28</v>
      </c>
      <c r="H58" s="16">
        <v>0.1534375</v>
      </c>
      <c r="I58" s="16">
        <f>H58-'Leg 1'!C55</f>
        <v>9.3888888888888883E-2</v>
      </c>
      <c r="J58" s="1">
        <f>VLOOKUP(G58,[1]Registration!$B$3:$C$77,2,FALSE)</f>
        <v>7</v>
      </c>
      <c r="K58" s="1">
        <v>6</v>
      </c>
      <c r="L58" s="29">
        <f t="shared" si="2"/>
        <v>7.1670907548770143E-3</v>
      </c>
    </row>
    <row r="59" spans="1:12" x14ac:dyDescent="0.35">
      <c r="A59" s="1">
        <v>56</v>
      </c>
      <c r="B59">
        <v>51</v>
      </c>
      <c r="C59" s="16">
        <v>0.15490740740740741</v>
      </c>
      <c r="D59" s="16">
        <f>'leg 2'!C59-'Leg 1'!C59</f>
        <v>9.2951388888888903E-2</v>
      </c>
      <c r="E59" s="1">
        <f>VLOOKUP(B59,Registration!$B$3:$C$77,2,FALSE)</f>
        <v>9</v>
      </c>
      <c r="F59" s="1">
        <v>56</v>
      </c>
      <c r="G59">
        <v>51</v>
      </c>
      <c r="H59" s="16">
        <v>0.15490740740740741</v>
      </c>
      <c r="I59" s="16">
        <f>H59-'Leg 1'!C63</f>
        <v>8.4131944444444454E-2</v>
      </c>
      <c r="J59" s="1">
        <f>VLOOKUP(G59,[1]Registration!$B$3:$C$77,2,FALSE)</f>
        <v>9</v>
      </c>
      <c r="K59" s="1">
        <v>9</v>
      </c>
      <c r="L59" s="29">
        <f t="shared" si="2"/>
        <v>6.4222858354537754E-3</v>
      </c>
    </row>
    <row r="60" spans="1:12" x14ac:dyDescent="0.35">
      <c r="A60" s="1">
        <v>57</v>
      </c>
      <c r="B60">
        <v>50</v>
      </c>
      <c r="C60" s="16">
        <v>0.15574074074074074</v>
      </c>
      <c r="D60" s="16">
        <f>'leg 2'!C60-'Leg 1'!C60</f>
        <v>9.2696759259259257E-2</v>
      </c>
      <c r="E60" s="1">
        <f>VLOOKUP(B60,Registration!$B$3:$C$77,2,FALSE)</f>
        <v>9</v>
      </c>
      <c r="F60" s="1">
        <v>57</v>
      </c>
      <c r="G60">
        <v>50</v>
      </c>
      <c r="H60" s="16">
        <v>0.15574074074074074</v>
      </c>
      <c r="I60" s="16">
        <f>H60-'Leg 1'!C60</f>
        <v>9.2696759259259257E-2</v>
      </c>
      <c r="J60" s="1">
        <f>VLOOKUP(G60,[1]Registration!$B$3:$C$77,2,FALSE)</f>
        <v>9</v>
      </c>
      <c r="K60" s="1">
        <v>10</v>
      </c>
      <c r="L60" s="29">
        <f t="shared" si="2"/>
        <v>7.0760884930732258E-3</v>
      </c>
    </row>
    <row r="61" spans="1:12" x14ac:dyDescent="0.35">
      <c r="A61" s="1">
        <v>58</v>
      </c>
      <c r="B61">
        <v>12</v>
      </c>
      <c r="C61" s="16">
        <v>0.15692129629629628</v>
      </c>
      <c r="D61" s="16">
        <f>'leg 2'!C61-'Leg 1'!C61</f>
        <v>9.3715277777777758E-2</v>
      </c>
      <c r="E61" s="1">
        <f>VLOOKUP(B61,Registration!$B$3:$C$77,2,FALSE)</f>
        <v>1</v>
      </c>
      <c r="F61" s="1">
        <v>58</v>
      </c>
      <c r="G61">
        <v>12</v>
      </c>
      <c r="H61" s="16">
        <v>0.15692129629629628</v>
      </c>
      <c r="I61" s="16">
        <f>H61-'Leg 1'!C62</f>
        <v>8.9050925925925908E-2</v>
      </c>
      <c r="J61" s="1">
        <f>VLOOKUP(G61,[1]Registration!$B$3:$C$77,2,FALSE)</f>
        <v>1</v>
      </c>
      <c r="K61" s="1">
        <v>9</v>
      </c>
      <c r="L61" s="29">
        <f t="shared" si="2"/>
        <v>6.7977806050325126E-3</v>
      </c>
    </row>
    <row r="62" spans="1:12" x14ac:dyDescent="0.35">
      <c r="A62" s="1">
        <v>59</v>
      </c>
      <c r="B62">
        <v>36</v>
      </c>
      <c r="C62" s="16">
        <v>0.15732638888888889</v>
      </c>
      <c r="D62" s="16">
        <f>'leg 2'!C62-'Leg 1'!C62</f>
        <v>8.9456018518518518E-2</v>
      </c>
      <c r="E62" s="1">
        <f>VLOOKUP(B62,Registration!$B$3:$C$77,2,FALSE)</f>
        <v>8</v>
      </c>
      <c r="F62" s="1">
        <v>59</v>
      </c>
      <c r="G62">
        <v>36</v>
      </c>
      <c r="H62" s="16">
        <v>0.15732638888888889</v>
      </c>
      <c r="I62" s="16">
        <f>H62-'Leg 1'!C61</f>
        <v>9.4120370370370368E-2</v>
      </c>
      <c r="J62" s="1">
        <f>VLOOKUP(G62,[1]Registration!$B$3:$C$77,2,FALSE)</f>
        <v>8</v>
      </c>
      <c r="K62" s="1">
        <v>13</v>
      </c>
      <c r="L62" s="29">
        <f t="shared" si="2"/>
        <v>7.1847610969748375E-3</v>
      </c>
    </row>
    <row r="63" spans="1:12" x14ac:dyDescent="0.35">
      <c r="A63" s="1">
        <v>60</v>
      </c>
      <c r="B63">
        <v>13</v>
      </c>
      <c r="C63" s="16">
        <v>0.15944444444444444</v>
      </c>
      <c r="D63" s="16">
        <f>'leg 2'!C63-'Leg 1'!C63</f>
        <v>8.8668981481481488E-2</v>
      </c>
      <c r="E63" s="1">
        <f>VLOOKUP(B63,Registration!$B$3:$C$77,2,FALSE)</f>
        <v>4</v>
      </c>
      <c r="F63" s="1">
        <v>60</v>
      </c>
      <c r="G63">
        <v>13</v>
      </c>
      <c r="H63" s="16">
        <v>0.15944444444444444</v>
      </c>
      <c r="I63" s="16">
        <f>H63-'Leg 1'!C52</f>
        <v>0.10128472222222223</v>
      </c>
      <c r="J63" s="1">
        <f>VLOOKUP(G63,[1]Registration!$B$3:$C$77,2,FALSE)</f>
        <v>4</v>
      </c>
      <c r="K63" s="1">
        <v>1</v>
      </c>
      <c r="L63" s="29">
        <f t="shared" si="2"/>
        <v>7.7316581849024612E-3</v>
      </c>
    </row>
    <row r="64" spans="1:12" x14ac:dyDescent="0.35">
      <c r="A64" s="1">
        <v>61</v>
      </c>
      <c r="B64">
        <v>40</v>
      </c>
      <c r="C64" s="16">
        <v>0.16003472222222223</v>
      </c>
      <c r="D64" s="16">
        <f>'leg 2'!C64-'Leg 1'!C64</f>
        <v>8.9120370370370378E-2</v>
      </c>
      <c r="E64" s="1">
        <f>VLOOKUP(B64,Registration!$B$3:$C$77,2,FALSE)</f>
        <v>8</v>
      </c>
      <c r="F64" s="1">
        <v>61</v>
      </c>
      <c r="G64">
        <v>40</v>
      </c>
      <c r="H64" s="16">
        <v>0.16003472222222223</v>
      </c>
      <c r="I64" s="16">
        <f>H64-'Leg 1'!C42</f>
        <v>0.10631944444444447</v>
      </c>
      <c r="J64" s="1">
        <f>VLOOKUP(G64,[1]Registration!$B$3:$C$77,2,FALSE)</f>
        <v>8</v>
      </c>
      <c r="K64" s="1">
        <v>14</v>
      </c>
      <c r="L64" s="29">
        <f t="shared" si="2"/>
        <v>8.1159881255301117E-3</v>
      </c>
    </row>
    <row r="65" spans="1:12" x14ac:dyDescent="0.35">
      <c r="A65" s="1">
        <v>62</v>
      </c>
      <c r="B65">
        <v>38</v>
      </c>
      <c r="C65" s="16">
        <v>0.16063657407407408</v>
      </c>
      <c r="D65" s="16">
        <f>'leg 2'!C65-'Leg 1'!C65</f>
        <v>0.16063657407407408</v>
      </c>
      <c r="E65" s="1">
        <f>VLOOKUP(B65,Registration!$B$3:$C$77,2,FALSE)</f>
        <v>8</v>
      </c>
      <c r="F65" s="1">
        <v>62</v>
      </c>
      <c r="G65">
        <v>38</v>
      </c>
      <c r="H65" s="16">
        <v>0.16063657407407408</v>
      </c>
      <c r="I65" s="16">
        <f>H65-'Leg 1'!C58</f>
        <v>9.881944444444446E-2</v>
      </c>
      <c r="J65" s="1">
        <f>VLOOKUP(G65,[1]Registration!$B$3:$C$77,2,FALSE)</f>
        <v>8</v>
      </c>
      <c r="K65" s="1">
        <v>15</v>
      </c>
      <c r="L65" s="29">
        <f t="shared" si="2"/>
        <v>7.5434690415606461E-3</v>
      </c>
    </row>
    <row r="66" spans="1:12" x14ac:dyDescent="0.35">
      <c r="A66" s="1">
        <v>63</v>
      </c>
      <c r="B66">
        <v>26</v>
      </c>
      <c r="C66" s="16">
        <v>0.16741898148148149</v>
      </c>
      <c r="D66" s="16">
        <f>'leg 2'!C66-'Leg 1'!C66</f>
        <v>0.16741898148148149</v>
      </c>
      <c r="E66" s="1">
        <f>VLOOKUP(B66,Registration!$B$3:$C$77,2,FALSE)</f>
        <v>7</v>
      </c>
      <c r="F66" s="1">
        <v>63</v>
      </c>
      <c r="G66">
        <v>26</v>
      </c>
      <c r="H66" s="16">
        <v>0.16741898148148149</v>
      </c>
      <c r="I66" s="16">
        <f>H66-'Leg 1'!C64</f>
        <v>9.6504629629629635E-2</v>
      </c>
      <c r="J66" s="1">
        <f>VLOOKUP(G66,[1]Registration!$B$3:$C$77,2,FALSE)</f>
        <v>7</v>
      </c>
      <c r="K66" s="1">
        <v>7</v>
      </c>
      <c r="L66" s="29">
        <f t="shared" si="2"/>
        <v>7.3667656205824153E-3</v>
      </c>
    </row>
    <row r="67" spans="1:12" x14ac:dyDescent="0.35">
      <c r="A67" s="1">
        <v>64</v>
      </c>
      <c r="B67">
        <v>23</v>
      </c>
      <c r="C67" s="16">
        <v>0.17450231481481482</v>
      </c>
      <c r="D67" s="16">
        <f>'leg 2'!C67-'Leg 1'!C67</f>
        <v>0.17450231481481482</v>
      </c>
      <c r="E67" s="1">
        <f>VLOOKUP(B67,Registration!$B$3:$C$77,2,FALSE)</f>
        <v>7</v>
      </c>
      <c r="F67" s="1">
        <v>64</v>
      </c>
      <c r="G67">
        <v>23</v>
      </c>
      <c r="H67" s="16">
        <v>0.17450231481481482</v>
      </c>
      <c r="I67" s="16">
        <f>H67-'Leg 1'!C38</f>
        <v>0.12188657407407408</v>
      </c>
      <c r="J67" s="1">
        <f>VLOOKUP(G67,[1]Registration!$B$3:$C$77,2,FALSE)</f>
        <v>7</v>
      </c>
      <c r="K67" s="1">
        <v>8</v>
      </c>
      <c r="L67" s="29">
        <f t="shared" si="2"/>
        <v>9.3043186316087087E-3</v>
      </c>
    </row>
    <row r="68" spans="1:12" x14ac:dyDescent="0.35">
      <c r="A68" s="1">
        <v>65</v>
      </c>
      <c r="F68" s="1">
        <v>65</v>
      </c>
      <c r="H68" s="16"/>
      <c r="I68" s="16"/>
      <c r="J68" s="1"/>
      <c r="L68" s="29"/>
    </row>
    <row r="69" spans="1:12" x14ac:dyDescent="0.35">
      <c r="H69" s="16"/>
      <c r="I69" s="16"/>
      <c r="J69" s="1"/>
    </row>
    <row r="70" spans="1:12" x14ac:dyDescent="0.35">
      <c r="H70" s="16"/>
      <c r="I70" s="16"/>
      <c r="J70" s="1"/>
    </row>
    <row r="71" spans="1:12" x14ac:dyDescent="0.35">
      <c r="H71" s="16"/>
      <c r="I71" s="16"/>
      <c r="J71" s="1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opLeftCell="A40" workbookViewId="0">
      <selection activeCell="D69" sqref="D69"/>
    </sheetView>
  </sheetViews>
  <sheetFormatPr defaultColWidth="8.81640625" defaultRowHeight="14.5" x14ac:dyDescent="0.35"/>
  <cols>
    <col min="2" max="2" width="5.453125" customWidth="1"/>
    <col min="3" max="3" width="11.81640625" style="16" bestFit="1" customWidth="1"/>
    <col min="4" max="4" width="11.81640625" style="16" customWidth="1"/>
    <col min="5" max="5" width="7.36328125" customWidth="1"/>
    <col min="6" max="6" width="8.81640625" style="1"/>
  </cols>
  <sheetData>
    <row r="1" spans="1:7" ht="18.5" x14ac:dyDescent="0.45">
      <c r="A1" s="4" t="s">
        <v>12</v>
      </c>
      <c r="B1" s="5" t="s">
        <v>3</v>
      </c>
      <c r="C1" s="14"/>
      <c r="D1" s="14"/>
      <c r="E1" s="10"/>
      <c r="F1" s="33"/>
    </row>
    <row r="2" spans="1:7" ht="18.5" x14ac:dyDescent="0.45">
      <c r="B2" s="5"/>
      <c r="C2" s="14"/>
      <c r="D2" s="14"/>
      <c r="E2" s="10"/>
      <c r="F2" s="33"/>
      <c r="G2" s="37" t="s">
        <v>90</v>
      </c>
    </row>
    <row r="3" spans="1:7" ht="15.5" x14ac:dyDescent="0.35">
      <c r="A3" s="12" t="s">
        <v>17</v>
      </c>
      <c r="B3" s="9" t="s">
        <v>6</v>
      </c>
      <c r="C3" s="22" t="s">
        <v>16</v>
      </c>
      <c r="D3" s="22" t="s">
        <v>2</v>
      </c>
      <c r="E3" s="6" t="s">
        <v>0</v>
      </c>
      <c r="F3" s="6" t="s">
        <v>1</v>
      </c>
      <c r="G3" s="23" t="s">
        <v>89</v>
      </c>
    </row>
    <row r="4" spans="1:7" x14ac:dyDescent="0.35">
      <c r="A4" s="1">
        <v>1</v>
      </c>
      <c r="B4">
        <v>68</v>
      </c>
      <c r="C4" s="16">
        <v>0.12679398148148149</v>
      </c>
      <c r="D4" s="16">
        <f>C4-'leg 2'!H4</f>
        <v>3.8495370370370388E-2</v>
      </c>
      <c r="E4" s="1">
        <f>VLOOKUP(B4,Registration!$B$3:$C$77,2,FALSE)</f>
        <v>1</v>
      </c>
      <c r="F4" s="1">
        <v>1</v>
      </c>
      <c r="G4" s="16">
        <f>D4/9.6</f>
        <v>4.0099344135802488E-3</v>
      </c>
    </row>
    <row r="5" spans="1:7" x14ac:dyDescent="0.35">
      <c r="A5" s="1">
        <v>2</v>
      </c>
      <c r="B5">
        <v>1</v>
      </c>
      <c r="C5" s="16">
        <v>0.12943287037037038</v>
      </c>
      <c r="D5" s="16">
        <f>C5-'leg 2'!H5</f>
        <v>3.8310185185185197E-2</v>
      </c>
      <c r="E5" s="1">
        <f>VLOOKUP(B5,Registration!$B$3:$C$77,2,FALSE)</f>
        <v>1</v>
      </c>
      <c r="F5" s="1">
        <v>2</v>
      </c>
      <c r="G5" s="16">
        <f t="shared" ref="G5:G68" si="0">D5/9.6</f>
        <v>3.990644290123458E-3</v>
      </c>
    </row>
    <row r="6" spans="1:7" x14ac:dyDescent="0.35">
      <c r="A6" s="1">
        <v>3</v>
      </c>
      <c r="B6">
        <v>5</v>
      </c>
      <c r="C6" s="16">
        <v>0.13413194444444446</v>
      </c>
      <c r="D6" s="16">
        <f>C6-'leg 2'!H7</f>
        <v>3.9907407407407419E-2</v>
      </c>
      <c r="E6" s="1">
        <f>VLOOKUP(B6,Registration!$B$3:$C$77,2,FALSE)</f>
        <v>1</v>
      </c>
      <c r="F6" s="1">
        <v>3</v>
      </c>
      <c r="G6" s="16">
        <f t="shared" si="0"/>
        <v>4.1570216049382734E-3</v>
      </c>
    </row>
    <row r="7" spans="1:7" x14ac:dyDescent="0.35">
      <c r="A7" s="1">
        <v>4</v>
      </c>
      <c r="B7">
        <v>7</v>
      </c>
      <c r="C7" s="16">
        <v>0.13548611111111111</v>
      </c>
      <c r="D7" s="16">
        <f>C7-'leg 2'!H6</f>
        <v>4.1689814814814805E-2</v>
      </c>
      <c r="E7" s="1">
        <f>VLOOKUP(B7,Registration!$B$3:$C$77,2,FALSE)</f>
        <v>1</v>
      </c>
      <c r="F7" s="1">
        <v>4</v>
      </c>
      <c r="G7" s="16">
        <f t="shared" si="0"/>
        <v>4.3426890432098761E-3</v>
      </c>
    </row>
    <row r="8" spans="1:7" x14ac:dyDescent="0.35">
      <c r="A8" s="1">
        <v>5</v>
      </c>
      <c r="B8">
        <v>2</v>
      </c>
      <c r="C8" s="16">
        <v>0.13756944444444444</v>
      </c>
      <c r="D8" s="16">
        <f>C8-'leg 2'!H8</f>
        <v>4.1793981481481474E-2</v>
      </c>
      <c r="E8" s="1">
        <f>VLOOKUP(B8,Registration!$B$3:$C$77,2,FALSE)</f>
        <v>1</v>
      </c>
      <c r="F8" s="1">
        <v>5</v>
      </c>
      <c r="G8" s="16">
        <f t="shared" si="0"/>
        <v>4.3535397376543205E-3</v>
      </c>
    </row>
    <row r="9" spans="1:7" x14ac:dyDescent="0.35">
      <c r="A9" s="1">
        <v>6</v>
      </c>
      <c r="B9">
        <v>9</v>
      </c>
      <c r="C9" s="16">
        <v>0.13916666666666666</v>
      </c>
      <c r="D9" s="16">
        <f>C9-'leg 2'!H9</f>
        <v>4.3148148148148144E-2</v>
      </c>
      <c r="E9" s="1">
        <f>VLOOKUP(B9,Registration!$B$3:$C$77,2,FALSE)</f>
        <v>2</v>
      </c>
      <c r="F9" s="1">
        <v>1</v>
      </c>
      <c r="G9" s="16">
        <f t="shared" si="0"/>
        <v>4.4945987654320986E-3</v>
      </c>
    </row>
    <row r="10" spans="1:7" x14ac:dyDescent="0.35">
      <c r="A10" s="1">
        <v>7</v>
      </c>
      <c r="B10">
        <v>18</v>
      </c>
      <c r="C10" s="16">
        <v>0.14416666666666667</v>
      </c>
      <c r="D10" s="16">
        <f>C10-'leg 2'!H11</f>
        <v>4.5717592592592601E-2</v>
      </c>
      <c r="E10" s="1">
        <f>VLOOKUP(B10,Registration!$B$3:$C$77,2,FALSE)</f>
        <v>6</v>
      </c>
      <c r="F10" s="1">
        <v>1</v>
      </c>
      <c r="G10" s="16">
        <f t="shared" si="0"/>
        <v>4.7622492283950629E-3</v>
      </c>
    </row>
    <row r="11" spans="1:7" x14ac:dyDescent="0.35">
      <c r="A11" s="1">
        <v>8</v>
      </c>
      <c r="B11">
        <v>47</v>
      </c>
      <c r="C11" s="16">
        <v>0.14466435185185186</v>
      </c>
      <c r="D11" s="16">
        <f>C11-'leg 2'!H10</f>
        <v>4.7453703703703706E-2</v>
      </c>
      <c r="E11" s="1">
        <f>VLOOKUP(B11,Registration!$B$3:$C$77,2,FALSE)</f>
        <v>8</v>
      </c>
      <c r="F11" s="1">
        <v>1</v>
      </c>
      <c r="G11" s="16">
        <f t="shared" si="0"/>
        <v>4.9430941358024694E-3</v>
      </c>
    </row>
    <row r="12" spans="1:7" x14ac:dyDescent="0.35">
      <c r="A12" s="1">
        <v>9</v>
      </c>
      <c r="B12">
        <v>43</v>
      </c>
      <c r="C12" s="16">
        <v>0.15056712962962962</v>
      </c>
      <c r="D12" s="16">
        <f>C12-'leg 2'!H14</f>
        <v>4.7060185185185163E-2</v>
      </c>
      <c r="E12" s="1">
        <f>VLOOKUP(B12,Registration!$B$3:$C$77,2,FALSE)</f>
        <v>8</v>
      </c>
      <c r="F12" s="1">
        <v>2</v>
      </c>
      <c r="G12" s="16">
        <f t="shared" si="0"/>
        <v>4.9021026234567881E-3</v>
      </c>
    </row>
    <row r="13" spans="1:7" x14ac:dyDescent="0.35">
      <c r="A13" s="1">
        <v>10</v>
      </c>
      <c r="B13">
        <v>6</v>
      </c>
      <c r="C13" s="16">
        <v>0.15481481481481482</v>
      </c>
      <c r="D13" s="16">
        <f>C13-'leg 2'!H12</f>
        <v>5.363425925925927E-2</v>
      </c>
      <c r="E13" s="1">
        <f>VLOOKUP(B13,Registration!$B$3:$C$77,2,FALSE)</f>
        <v>1</v>
      </c>
      <c r="F13" s="1">
        <v>6</v>
      </c>
      <c r="G13" s="16">
        <f t="shared" si="0"/>
        <v>5.5869020061728412E-3</v>
      </c>
    </row>
    <row r="14" spans="1:7" x14ac:dyDescent="0.35">
      <c r="A14" s="1">
        <v>11</v>
      </c>
      <c r="B14">
        <v>63</v>
      </c>
      <c r="C14" s="16">
        <v>0.15778935185185186</v>
      </c>
      <c r="D14" s="16">
        <f>C14-'leg 2'!H19</f>
        <v>4.6620370370370381E-2</v>
      </c>
      <c r="E14" s="1">
        <f>VLOOKUP(B14,Registration!$B$3:$C$77,2,FALSE)</f>
        <v>10</v>
      </c>
      <c r="F14" s="1">
        <v>1</v>
      </c>
      <c r="G14" s="16">
        <f t="shared" si="0"/>
        <v>4.856288580246915E-3</v>
      </c>
    </row>
    <row r="15" spans="1:7" x14ac:dyDescent="0.35">
      <c r="A15" s="1">
        <v>12</v>
      </c>
      <c r="B15">
        <v>59</v>
      </c>
      <c r="C15" s="16">
        <v>0.15790509259259258</v>
      </c>
      <c r="D15" s="16">
        <f>C15-'leg 2'!H16</f>
        <v>5.1041666666666666E-2</v>
      </c>
      <c r="E15" s="1">
        <f>VLOOKUP(B15,Registration!$B$3:$C$77,2,FALSE)</f>
        <v>10</v>
      </c>
      <c r="F15" s="1">
        <v>2</v>
      </c>
      <c r="G15" s="16">
        <f t="shared" si="0"/>
        <v>5.316840277777778E-3</v>
      </c>
    </row>
    <row r="16" spans="1:7" x14ac:dyDescent="0.35">
      <c r="A16" s="1">
        <v>13</v>
      </c>
      <c r="B16">
        <v>45</v>
      </c>
      <c r="C16" s="16">
        <v>0.15940972222222222</v>
      </c>
      <c r="D16" s="16">
        <f>C16-'leg 2'!H15</f>
        <v>5.321759259259258E-2</v>
      </c>
      <c r="E16" s="1">
        <f>VLOOKUP(B16,Registration!$B$3:$C$77,2,FALSE)</f>
        <v>8</v>
      </c>
      <c r="F16" s="1">
        <v>3</v>
      </c>
      <c r="G16" s="16">
        <f t="shared" si="0"/>
        <v>5.543499228395061E-3</v>
      </c>
    </row>
    <row r="17" spans="1:7" x14ac:dyDescent="0.35">
      <c r="A17" s="1">
        <v>14</v>
      </c>
      <c r="B17">
        <v>17</v>
      </c>
      <c r="C17" s="16">
        <v>0.16005787037037036</v>
      </c>
      <c r="D17" s="16">
        <f>C17-'leg 2'!H20</f>
        <v>4.8159722222222215E-2</v>
      </c>
      <c r="E17" s="1">
        <f>VLOOKUP(B17,Registration!$B$3:$C$77,2,FALSE)</f>
        <v>6</v>
      </c>
      <c r="F17" s="1">
        <v>2</v>
      </c>
      <c r="G17" s="16">
        <f t="shared" si="0"/>
        <v>5.0166377314814813E-3</v>
      </c>
    </row>
    <row r="18" spans="1:7" x14ac:dyDescent="0.35">
      <c r="A18" s="1">
        <v>15</v>
      </c>
      <c r="B18">
        <v>65</v>
      </c>
      <c r="C18" s="16">
        <v>0.16023148148148147</v>
      </c>
      <c r="D18" s="16">
        <f>C18-'leg 2'!H18</f>
        <v>4.912037037037037E-2</v>
      </c>
      <c r="E18" s="1">
        <f>VLOOKUP(B18,Registration!$B$3:$C$77,2,FALSE)</f>
        <v>10</v>
      </c>
      <c r="F18" s="1">
        <v>3</v>
      </c>
      <c r="G18" s="16">
        <f t="shared" si="0"/>
        <v>5.1167052469135808E-3</v>
      </c>
    </row>
    <row r="19" spans="1:7" x14ac:dyDescent="0.35">
      <c r="A19" s="1">
        <v>16</v>
      </c>
      <c r="B19">
        <v>4</v>
      </c>
      <c r="C19" s="16">
        <v>0.16292824074074075</v>
      </c>
      <c r="D19" s="16">
        <f>C19-'leg 2'!H17</f>
        <v>5.3969907407407411E-2</v>
      </c>
      <c r="E19" s="1">
        <f>VLOOKUP(B19,Registration!$B$3:$C$77,2,FALSE)</f>
        <v>1</v>
      </c>
      <c r="F19" s="1">
        <v>7</v>
      </c>
      <c r="G19" s="16">
        <f t="shared" si="0"/>
        <v>5.6218653549382725E-3</v>
      </c>
    </row>
    <row r="20" spans="1:7" x14ac:dyDescent="0.35">
      <c r="A20" s="1">
        <v>17</v>
      </c>
      <c r="B20">
        <v>58</v>
      </c>
      <c r="C20" s="16">
        <v>0.16502314814814814</v>
      </c>
      <c r="D20" s="16">
        <f>C20-'leg 2'!H21</f>
        <v>5.1446759259259262E-2</v>
      </c>
      <c r="E20" s="1">
        <f>VLOOKUP(B20,Registration!$B$3:$C$77,2,FALSE)</f>
        <v>10</v>
      </c>
      <c r="F20" s="1">
        <v>4</v>
      </c>
      <c r="G20" s="16">
        <f t="shared" si="0"/>
        <v>5.359037422839507E-3</v>
      </c>
    </row>
    <row r="21" spans="1:7" x14ac:dyDescent="0.35">
      <c r="A21" s="1">
        <v>18</v>
      </c>
      <c r="B21">
        <v>62</v>
      </c>
      <c r="C21" s="16">
        <v>0.16528935185185187</v>
      </c>
      <c r="D21" s="16">
        <f>C21-'leg 2'!H25</f>
        <v>4.9363425925925949E-2</v>
      </c>
      <c r="E21" s="1">
        <f>VLOOKUP(B21,Registration!$B$3:$C$77,2,FALSE)</f>
        <v>10</v>
      </c>
      <c r="F21" s="1">
        <v>5</v>
      </c>
      <c r="G21" s="16">
        <f t="shared" si="0"/>
        <v>5.1420235339506197E-3</v>
      </c>
    </row>
    <row r="22" spans="1:7" x14ac:dyDescent="0.35">
      <c r="A22" s="1">
        <v>19</v>
      </c>
      <c r="B22">
        <v>34</v>
      </c>
      <c r="C22" s="16">
        <v>0.16677083333333334</v>
      </c>
      <c r="D22" s="16">
        <f>C22-'leg 2'!H26</f>
        <v>4.9016203703703715E-2</v>
      </c>
      <c r="E22" s="1">
        <f>VLOOKUP(B22,Registration!$B$3:$C$77,2,FALSE)</f>
        <v>8</v>
      </c>
      <c r="F22" s="1">
        <v>4</v>
      </c>
      <c r="G22" s="16">
        <f t="shared" si="0"/>
        <v>5.1058545524691372E-3</v>
      </c>
    </row>
    <row r="23" spans="1:7" x14ac:dyDescent="0.35">
      <c r="A23" s="1">
        <v>20</v>
      </c>
      <c r="B23">
        <v>53</v>
      </c>
      <c r="C23" s="16">
        <v>0.16711805555555556</v>
      </c>
      <c r="D23" s="16">
        <f>C23-'leg 2'!H24</f>
        <v>5.2025462962962968E-2</v>
      </c>
      <c r="E23" s="1">
        <f>VLOOKUP(B23,Registration!$B$3:$C$77,2,FALSE)</f>
        <v>9</v>
      </c>
      <c r="F23" s="1">
        <v>1</v>
      </c>
      <c r="G23" s="16">
        <f t="shared" si="0"/>
        <v>5.4193190586419764E-3</v>
      </c>
    </row>
    <row r="24" spans="1:7" x14ac:dyDescent="0.35">
      <c r="A24" s="1">
        <v>21</v>
      </c>
      <c r="B24">
        <v>15</v>
      </c>
      <c r="C24" s="16">
        <v>0.17052083333333334</v>
      </c>
      <c r="D24" s="16">
        <f>C24-'leg 2'!H27</f>
        <v>5.0636574074074084E-2</v>
      </c>
      <c r="E24" s="1">
        <f>VLOOKUP(B24,Registration!$B$3:$C$77,2,FALSE)</f>
        <v>6</v>
      </c>
      <c r="F24" s="1">
        <v>3</v>
      </c>
      <c r="G24" s="16">
        <f t="shared" si="0"/>
        <v>5.2746431327160507E-3</v>
      </c>
    </row>
    <row r="25" spans="1:7" x14ac:dyDescent="0.35">
      <c r="A25" s="1">
        <v>22</v>
      </c>
      <c r="B25">
        <v>44</v>
      </c>
      <c r="C25" s="16">
        <v>0.17105324074074071</v>
      </c>
      <c r="D25" s="16">
        <f>C25-'leg 2'!H22</f>
        <v>5.6608796296296268E-2</v>
      </c>
      <c r="E25" s="1">
        <f>VLOOKUP(B25,Registration!$B$3:$C$77,2,FALSE)</f>
        <v>8</v>
      </c>
      <c r="F25" s="1">
        <v>4</v>
      </c>
      <c r="G25" s="16">
        <f t="shared" si="0"/>
        <v>5.8967496141975285E-3</v>
      </c>
    </row>
    <row r="26" spans="1:7" x14ac:dyDescent="0.35">
      <c r="A26" s="1">
        <v>23</v>
      </c>
      <c r="B26">
        <v>46</v>
      </c>
      <c r="C26" s="16">
        <v>0.17315972222222223</v>
      </c>
      <c r="D26" s="16">
        <f>C26-'leg 2'!H29</f>
        <v>5.1608796296296305E-2</v>
      </c>
      <c r="E26" s="1">
        <f>VLOOKUP(B26,Registration!$B$3:$C$77,2,FALSE)</f>
        <v>8</v>
      </c>
      <c r="F26" s="1">
        <v>5</v>
      </c>
      <c r="G26" s="16">
        <f t="shared" si="0"/>
        <v>5.3759162808641988E-3</v>
      </c>
    </row>
    <row r="27" spans="1:7" x14ac:dyDescent="0.35">
      <c r="A27" s="1">
        <v>24</v>
      </c>
      <c r="B27">
        <v>30</v>
      </c>
      <c r="C27" s="16">
        <v>0.17710648148148148</v>
      </c>
      <c r="D27" s="16">
        <f>C27-'leg 2'!H28</f>
        <v>5.6412037037037038E-2</v>
      </c>
      <c r="E27" s="1">
        <f>VLOOKUP(B27,Registration!$B$3:$C$77,2,FALSE)</f>
        <v>8</v>
      </c>
      <c r="F27" s="1">
        <v>6</v>
      </c>
      <c r="G27" s="16">
        <f t="shared" si="0"/>
        <v>5.8762538580246918E-3</v>
      </c>
    </row>
    <row r="28" spans="1:7" x14ac:dyDescent="0.35">
      <c r="A28" s="1">
        <v>25</v>
      </c>
      <c r="B28">
        <v>55</v>
      </c>
      <c r="C28" s="16">
        <v>0.17855324074074075</v>
      </c>
      <c r="D28" s="16">
        <f>C28-'leg 2'!H13</f>
        <v>7.5995370370370366E-2</v>
      </c>
      <c r="E28" s="1">
        <f>VLOOKUP(B28,Registration!$B$3:$C$77,2,FALSE)</f>
        <v>9</v>
      </c>
      <c r="F28" s="1">
        <v>2</v>
      </c>
      <c r="G28" s="16">
        <f t="shared" si="0"/>
        <v>7.9161844135802462E-3</v>
      </c>
    </row>
    <row r="29" spans="1:7" x14ac:dyDescent="0.35">
      <c r="A29" s="1">
        <v>26</v>
      </c>
      <c r="B29">
        <v>56</v>
      </c>
      <c r="C29" s="16">
        <v>0.17899305555555556</v>
      </c>
      <c r="D29" s="16">
        <f>C29-'leg 2'!H30</f>
        <v>5.4942129629629632E-2</v>
      </c>
      <c r="E29" s="1">
        <f>VLOOKUP(B29,Registration!$B$3:$C$77,2,FALSE)</f>
        <v>9</v>
      </c>
      <c r="F29" s="1">
        <v>3</v>
      </c>
      <c r="G29" s="16">
        <f t="shared" si="0"/>
        <v>5.7231385030864206E-3</v>
      </c>
    </row>
    <row r="30" spans="1:7" x14ac:dyDescent="0.35">
      <c r="A30" s="1">
        <v>27</v>
      </c>
      <c r="B30">
        <v>25</v>
      </c>
      <c r="C30" s="16">
        <v>0.18009259259259258</v>
      </c>
      <c r="D30" s="16">
        <f>C30-'leg 2'!H33</f>
        <v>5.4247685185185163E-2</v>
      </c>
      <c r="E30" s="1">
        <f>VLOOKUP(B30,Registration!$B$3:$C$77,2,FALSE)</f>
        <v>7</v>
      </c>
      <c r="F30" s="1">
        <v>1</v>
      </c>
      <c r="G30" s="16">
        <f t="shared" si="0"/>
        <v>5.6508005401234547E-3</v>
      </c>
    </row>
    <row r="31" spans="1:7" x14ac:dyDescent="0.35">
      <c r="A31" s="1">
        <v>28</v>
      </c>
      <c r="B31">
        <v>32</v>
      </c>
      <c r="C31" s="16">
        <v>0.18020833333333333</v>
      </c>
      <c r="D31" s="16">
        <f>C31-'leg 2'!H36</f>
        <v>5.337962962962961E-2</v>
      </c>
      <c r="E31" s="1">
        <f>VLOOKUP(B31,Registration!$B$3:$C$77,2,FALSE)</f>
        <v>8</v>
      </c>
      <c r="F31" s="1">
        <v>7</v>
      </c>
      <c r="G31" s="16">
        <f t="shared" si="0"/>
        <v>5.5603780864197511E-3</v>
      </c>
    </row>
    <row r="32" spans="1:7" x14ac:dyDescent="0.35">
      <c r="A32" s="1">
        <v>29</v>
      </c>
      <c r="B32">
        <v>22</v>
      </c>
      <c r="C32" s="16">
        <v>0.18062500000000001</v>
      </c>
      <c r="D32" s="16">
        <f>C32-'leg 2'!H23</f>
        <v>6.5740740740740752E-2</v>
      </c>
      <c r="E32" s="1">
        <f>VLOOKUP(B32,Registration!$B$3:$C$77,2,FALSE)</f>
        <v>7</v>
      </c>
      <c r="F32" s="1">
        <v>2</v>
      </c>
      <c r="G32" s="16">
        <f t="shared" si="0"/>
        <v>6.8479938271604956E-3</v>
      </c>
    </row>
    <row r="33" spans="1:7" x14ac:dyDescent="0.35">
      <c r="A33" s="1">
        <v>30</v>
      </c>
      <c r="B33">
        <v>33</v>
      </c>
      <c r="C33" s="16">
        <v>0.18141203703703704</v>
      </c>
      <c r="D33" s="16">
        <f>C33-'leg 2'!H39</f>
        <v>5.1134259259259268E-2</v>
      </c>
      <c r="E33" s="1">
        <f>VLOOKUP(B33,Registration!$B$3:$C$77,2,FALSE)</f>
        <v>8</v>
      </c>
      <c r="F33" s="1">
        <v>8</v>
      </c>
      <c r="G33" s="16">
        <f t="shared" si="0"/>
        <v>5.3264853395061738E-3</v>
      </c>
    </row>
    <row r="34" spans="1:7" x14ac:dyDescent="0.35">
      <c r="A34" s="1">
        <v>31</v>
      </c>
      <c r="B34">
        <v>31</v>
      </c>
      <c r="C34" s="16">
        <v>0.18219907407407407</v>
      </c>
      <c r="D34" s="16">
        <f>C34-'leg 2'!H32</f>
        <v>5.6944444444444436E-2</v>
      </c>
      <c r="E34" s="1">
        <f>VLOOKUP(B34,Registration!$B$3:$C$77,2,FALSE)</f>
        <v>8</v>
      </c>
      <c r="F34" s="1">
        <v>9</v>
      </c>
      <c r="G34" s="16">
        <f t="shared" si="0"/>
        <v>5.9317129629629624E-3</v>
      </c>
    </row>
    <row r="35" spans="1:7" x14ac:dyDescent="0.35">
      <c r="A35" s="1">
        <v>32</v>
      </c>
      <c r="B35">
        <v>57</v>
      </c>
      <c r="C35" s="16">
        <v>0.18236111111111111</v>
      </c>
      <c r="D35" s="16">
        <f>C35-'leg 2'!H34</f>
        <v>5.6342592592592611E-2</v>
      </c>
      <c r="E35" s="1">
        <f>VLOOKUP(B35,Registration!$B$3:$C$77,2,FALSE)</f>
        <v>9</v>
      </c>
      <c r="F35" s="1">
        <v>4</v>
      </c>
      <c r="G35" s="16">
        <f t="shared" si="0"/>
        <v>5.8690200617283975E-3</v>
      </c>
    </row>
    <row r="36" spans="1:7" x14ac:dyDescent="0.35">
      <c r="A36" s="1">
        <v>33</v>
      </c>
      <c r="B36">
        <v>10</v>
      </c>
      <c r="C36" s="16">
        <v>0.18406250000000002</v>
      </c>
      <c r="D36" s="16">
        <f>C36-'leg 2'!H48</f>
        <v>4.3437500000000018E-2</v>
      </c>
      <c r="E36" s="1">
        <f>VLOOKUP(B36,Registration!$B$3:$C$77,2,FALSE)</f>
        <v>3</v>
      </c>
      <c r="F36" s="1">
        <v>1</v>
      </c>
      <c r="G36" s="16">
        <f t="shared" si="0"/>
        <v>4.5247395833333355E-3</v>
      </c>
    </row>
    <row r="37" spans="1:7" x14ac:dyDescent="0.35">
      <c r="A37" s="1">
        <v>34</v>
      </c>
      <c r="B37">
        <v>16</v>
      </c>
      <c r="C37" s="16">
        <v>0.18557870370370369</v>
      </c>
      <c r="D37" s="16">
        <f>C37-'leg 2'!H37</f>
        <v>5.6701388888888871E-2</v>
      </c>
      <c r="E37" s="1">
        <f>VLOOKUP(B37,Registration!$B$3:$C$77,2,FALSE)</f>
        <v>6</v>
      </c>
      <c r="F37" s="1">
        <v>4</v>
      </c>
      <c r="G37" s="16">
        <f t="shared" si="0"/>
        <v>5.9063946759259243E-3</v>
      </c>
    </row>
    <row r="38" spans="1:7" x14ac:dyDescent="0.35">
      <c r="A38" s="1">
        <v>35</v>
      </c>
      <c r="B38">
        <v>11</v>
      </c>
      <c r="C38" s="16">
        <v>0.18677083333333333</v>
      </c>
      <c r="D38" s="16">
        <f>C38-'leg 2'!H40</f>
        <v>5.3298611111111116E-2</v>
      </c>
      <c r="E38" s="1">
        <f>VLOOKUP(B38,Registration!$B$3:$C$77,2,FALSE)</f>
        <v>3</v>
      </c>
      <c r="F38" s="1">
        <v>2</v>
      </c>
      <c r="G38" s="16">
        <f t="shared" si="0"/>
        <v>5.5519386574074082E-3</v>
      </c>
    </row>
    <row r="39" spans="1:7" x14ac:dyDescent="0.35">
      <c r="A39" s="1">
        <v>36</v>
      </c>
      <c r="B39">
        <v>29</v>
      </c>
      <c r="C39" s="16">
        <v>0.18731481481481482</v>
      </c>
      <c r="D39" s="16">
        <f>C39-'leg 2'!H31</f>
        <v>6.2719907407407419E-2</v>
      </c>
      <c r="E39" s="1">
        <f>VLOOKUP(B39,Registration!$B$3:$C$77,2,FALSE)</f>
        <v>8</v>
      </c>
      <c r="F39" s="1">
        <v>10</v>
      </c>
      <c r="G39" s="16">
        <f t="shared" si="0"/>
        <v>6.5333236882716061E-3</v>
      </c>
    </row>
    <row r="40" spans="1:7" x14ac:dyDescent="0.35">
      <c r="A40" s="1">
        <v>37</v>
      </c>
      <c r="B40">
        <v>19</v>
      </c>
      <c r="C40" s="16">
        <v>0.18810185185185188</v>
      </c>
      <c r="D40" s="16">
        <f>C40-'leg 2'!H43</f>
        <v>5.331018518518521E-2</v>
      </c>
      <c r="E40" s="1">
        <f>VLOOKUP(B40,Registration!$B$3:$C$77,2,FALSE)</f>
        <v>6</v>
      </c>
      <c r="F40" s="1">
        <v>5</v>
      </c>
      <c r="G40" s="16">
        <f t="shared" si="0"/>
        <v>5.5531442901234594E-3</v>
      </c>
    </row>
    <row r="41" spans="1:7" x14ac:dyDescent="0.35">
      <c r="A41" s="1">
        <v>38</v>
      </c>
      <c r="B41">
        <v>61</v>
      </c>
      <c r="C41" s="16">
        <v>0.18832175925925929</v>
      </c>
      <c r="D41" s="16">
        <f>C41-'leg 2'!H38</f>
        <v>5.8159722222222265E-2</v>
      </c>
      <c r="E41" s="1">
        <f>VLOOKUP(B41,Registration!$B$3:$C$77,2,FALSE)</f>
        <v>10</v>
      </c>
      <c r="F41" s="1">
        <v>6</v>
      </c>
      <c r="G41" s="16">
        <f t="shared" si="0"/>
        <v>6.0583043981481529E-3</v>
      </c>
    </row>
    <row r="42" spans="1:7" x14ac:dyDescent="0.35">
      <c r="A42" s="1">
        <v>39</v>
      </c>
      <c r="B42">
        <v>20</v>
      </c>
      <c r="C42" s="16">
        <v>0.18916666666666668</v>
      </c>
      <c r="D42" s="16">
        <f>C42-'leg 2'!H35</f>
        <v>6.2581018518518522E-2</v>
      </c>
      <c r="E42" s="1">
        <f>VLOOKUP(B42,Registration!$B$3:$C$77,2,FALSE)</f>
        <v>6</v>
      </c>
      <c r="F42" s="1">
        <v>6</v>
      </c>
      <c r="G42" s="16">
        <f t="shared" si="0"/>
        <v>6.5188560956790133E-3</v>
      </c>
    </row>
    <row r="43" spans="1:7" x14ac:dyDescent="0.35">
      <c r="A43" s="1">
        <v>40</v>
      </c>
      <c r="B43">
        <v>64</v>
      </c>
      <c r="C43" s="16">
        <v>0.19467592592592595</v>
      </c>
      <c r="D43" s="16">
        <f>C43-'leg 2'!H44</f>
        <v>5.9791666666666687E-2</v>
      </c>
      <c r="E43" s="1">
        <f>VLOOKUP(B43,Registration!$B$3:$C$77,2,FALSE)</f>
        <v>10</v>
      </c>
      <c r="F43" s="1">
        <v>7</v>
      </c>
      <c r="G43" s="16">
        <f t="shared" si="0"/>
        <v>6.2282986111111133E-3</v>
      </c>
    </row>
    <row r="44" spans="1:7" x14ac:dyDescent="0.35">
      <c r="A44" s="1">
        <v>41</v>
      </c>
      <c r="B44">
        <v>39</v>
      </c>
      <c r="C44" s="16">
        <v>0.1955787037037037</v>
      </c>
      <c r="D44" s="16">
        <f>C44-'leg 2'!H46</f>
        <v>5.9317129629629622E-2</v>
      </c>
      <c r="E44" s="1">
        <f>VLOOKUP(B44,Registration!$B$3:$C$77,2,FALSE)</f>
        <v>8</v>
      </c>
      <c r="F44" s="1">
        <v>11</v>
      </c>
      <c r="G44" s="16">
        <f t="shared" si="0"/>
        <v>6.1788676697530857E-3</v>
      </c>
    </row>
    <row r="45" spans="1:7" x14ac:dyDescent="0.35">
      <c r="A45" s="1">
        <v>42</v>
      </c>
      <c r="B45">
        <v>41</v>
      </c>
      <c r="C45" s="16">
        <v>0.19644675925925925</v>
      </c>
      <c r="D45" s="16">
        <f>C45-'leg 2'!H42</f>
        <v>6.1689814814814808E-2</v>
      </c>
      <c r="E45" s="1">
        <f>VLOOKUP(B45,Registration!$B$3:$C$77,2,FALSE)</f>
        <v>8</v>
      </c>
      <c r="F45" s="1">
        <v>12</v>
      </c>
      <c r="G45" s="16">
        <f t="shared" si="0"/>
        <v>6.4260223765432098E-3</v>
      </c>
    </row>
    <row r="46" spans="1:7" x14ac:dyDescent="0.35">
      <c r="A46" s="1">
        <v>43</v>
      </c>
      <c r="B46">
        <v>60</v>
      </c>
      <c r="C46" s="16">
        <v>0.19700231481481481</v>
      </c>
      <c r="D46" s="16">
        <f>C46-'leg 2'!H41</f>
        <v>6.278935185185186E-2</v>
      </c>
      <c r="E46" s="1">
        <f>VLOOKUP(B46,Registration!$B$3:$C$77,2,FALSE)</f>
        <v>10</v>
      </c>
      <c r="F46" s="1">
        <v>8</v>
      </c>
      <c r="G46" s="16">
        <f t="shared" si="0"/>
        <v>6.5405574845679021E-3</v>
      </c>
    </row>
    <row r="47" spans="1:7" x14ac:dyDescent="0.35">
      <c r="A47" s="1">
        <v>44</v>
      </c>
      <c r="B47">
        <v>24</v>
      </c>
      <c r="C47" s="16">
        <v>0.19877314814814814</v>
      </c>
      <c r="D47" s="16">
        <f>C47-'leg 2'!H50</f>
        <v>5.5335648148148148E-2</v>
      </c>
      <c r="E47" s="1">
        <f>VLOOKUP(B47,Registration!$B$3:$C$77,2,FALSE)</f>
        <v>7</v>
      </c>
      <c r="F47" s="1">
        <v>3</v>
      </c>
      <c r="G47" s="16">
        <f t="shared" si="0"/>
        <v>5.7641300154320993E-3</v>
      </c>
    </row>
    <row r="48" spans="1:7" x14ac:dyDescent="0.35">
      <c r="A48" s="1">
        <v>45</v>
      </c>
      <c r="B48">
        <v>37</v>
      </c>
      <c r="C48" s="16">
        <v>0.1993287037037037</v>
      </c>
      <c r="D48" s="16">
        <f>C48-'leg 2'!H51</f>
        <v>5.5277777777777787E-2</v>
      </c>
      <c r="E48" s="1">
        <f>VLOOKUP(B48,Registration!$B$3:$C$77,2,FALSE)</f>
        <v>8</v>
      </c>
      <c r="F48" s="1">
        <v>13</v>
      </c>
      <c r="G48" s="16">
        <f t="shared" si="0"/>
        <v>5.7581018518518528E-3</v>
      </c>
    </row>
    <row r="49" spans="1:7" x14ac:dyDescent="0.35">
      <c r="A49" s="1">
        <v>46</v>
      </c>
      <c r="B49">
        <v>21</v>
      </c>
      <c r="C49" s="16">
        <v>0.2013425925925926</v>
      </c>
      <c r="D49" s="16">
        <f>C49-'leg 2'!H47</f>
        <v>6.159722222222222E-2</v>
      </c>
      <c r="E49" s="1">
        <f>VLOOKUP(B49,Registration!$B$3:$C$77,2,FALSE)</f>
        <v>7</v>
      </c>
      <c r="F49" s="1">
        <v>4</v>
      </c>
      <c r="G49" s="16">
        <f t="shared" si="0"/>
        <v>6.4163773148148149E-3</v>
      </c>
    </row>
    <row r="50" spans="1:7" x14ac:dyDescent="0.35">
      <c r="A50" s="1">
        <v>47</v>
      </c>
      <c r="B50">
        <v>14</v>
      </c>
      <c r="C50" s="16">
        <v>0.20407407407407407</v>
      </c>
      <c r="D50" s="16">
        <f>C50-'leg 2'!H49</f>
        <v>6.2835648148148154E-2</v>
      </c>
      <c r="E50" s="1">
        <f>VLOOKUP(B50,Registration!$B$3:$C$77,2,FALSE)</f>
        <v>5</v>
      </c>
      <c r="F50" s="1">
        <v>1</v>
      </c>
      <c r="G50" s="16">
        <f t="shared" si="0"/>
        <v>6.5453800154321E-3</v>
      </c>
    </row>
    <row r="51" spans="1:7" x14ac:dyDescent="0.35">
      <c r="A51" s="1">
        <v>48</v>
      </c>
      <c r="B51">
        <v>49</v>
      </c>
      <c r="C51" s="16">
        <v>0.20431712962962964</v>
      </c>
      <c r="D51" s="16">
        <f>C51-'leg 2'!H45</f>
        <v>6.9282407407407431E-2</v>
      </c>
      <c r="E51" s="1">
        <f>VLOOKUP(B51,Registration!$B$3:$C$77,2,FALSE)</f>
        <v>9</v>
      </c>
      <c r="F51" s="1">
        <v>5</v>
      </c>
      <c r="G51" s="16">
        <f t="shared" si="0"/>
        <v>7.216917438271608E-3</v>
      </c>
    </row>
    <row r="52" spans="1:7" x14ac:dyDescent="0.35">
      <c r="A52" s="1">
        <v>49</v>
      </c>
      <c r="B52">
        <v>48</v>
      </c>
      <c r="C52" s="16">
        <v>0.20619212962962963</v>
      </c>
      <c r="D52" s="16">
        <f>C52-'leg 2'!H53</f>
        <v>5.9699074074074071E-2</v>
      </c>
      <c r="E52" s="1">
        <f>VLOOKUP(B52,Registration!$B$3:$C$77,2,FALSE)</f>
        <v>9</v>
      </c>
      <c r="F52" s="1">
        <v>6</v>
      </c>
      <c r="G52" s="16">
        <f t="shared" si="0"/>
        <v>6.2186535493827157E-3</v>
      </c>
    </row>
    <row r="53" spans="1:7" x14ac:dyDescent="0.35">
      <c r="A53" s="1">
        <v>50</v>
      </c>
      <c r="B53">
        <v>50</v>
      </c>
      <c r="C53" s="16">
        <v>0.21037037037037035</v>
      </c>
      <c r="D53" s="16">
        <f>C53-'leg 2'!H60</f>
        <v>5.4629629629629611E-2</v>
      </c>
      <c r="E53" s="1">
        <f>VLOOKUP(B53,Registration!$B$3:$C$77,2,FALSE)</f>
        <v>9</v>
      </c>
      <c r="F53" s="1">
        <v>7</v>
      </c>
      <c r="G53" s="16">
        <f t="shared" si="0"/>
        <v>5.6905864197530848E-3</v>
      </c>
    </row>
    <row r="54" spans="1:7" x14ac:dyDescent="0.35">
      <c r="A54" s="1">
        <v>51</v>
      </c>
      <c r="B54">
        <v>3</v>
      </c>
      <c r="C54" s="16">
        <v>0.21123842592592593</v>
      </c>
      <c r="D54" s="16">
        <f>C54-'leg 2'!H54</f>
        <v>6.4664351851851848E-2</v>
      </c>
      <c r="E54" s="1">
        <f>VLOOKUP(B54,Registration!$B$3:$C$77,2,FALSE)</f>
        <v>1</v>
      </c>
      <c r="F54" s="1">
        <v>8</v>
      </c>
      <c r="G54" s="16">
        <f t="shared" si="0"/>
        <v>6.7358699845679014E-3</v>
      </c>
    </row>
    <row r="55" spans="1:7" x14ac:dyDescent="0.35">
      <c r="A55" s="1">
        <v>52</v>
      </c>
      <c r="B55">
        <v>69</v>
      </c>
      <c r="C55" s="16">
        <v>0.21200231481481482</v>
      </c>
      <c r="D55" s="16">
        <f>C55-'leg 2'!H56</f>
        <v>6.173611111111113E-2</v>
      </c>
      <c r="E55" s="1">
        <f>VLOOKUP(B55,Registration!$B$3:$C$77,2,FALSE)</f>
        <v>10</v>
      </c>
      <c r="F55" s="1">
        <v>9</v>
      </c>
      <c r="G55" s="16">
        <f t="shared" si="0"/>
        <v>6.4308449074074094E-3</v>
      </c>
    </row>
    <row r="56" spans="1:7" x14ac:dyDescent="0.35">
      <c r="A56" s="1">
        <v>53</v>
      </c>
      <c r="B56">
        <v>12</v>
      </c>
      <c r="C56" s="16">
        <v>0.21421296296296297</v>
      </c>
      <c r="D56" s="16">
        <f>C56-'leg 2'!H61</f>
        <v>5.7291666666666685E-2</v>
      </c>
      <c r="E56" s="1">
        <f>VLOOKUP(B56,Registration!$B$3:$C$77,2,FALSE)</f>
        <v>1</v>
      </c>
      <c r="F56" s="1">
        <v>9</v>
      </c>
      <c r="G56" s="16">
        <f t="shared" si="0"/>
        <v>5.9678819444444467E-3</v>
      </c>
    </row>
    <row r="57" spans="1:7" x14ac:dyDescent="0.35">
      <c r="A57" s="1">
        <v>54</v>
      </c>
      <c r="B57">
        <v>27</v>
      </c>
      <c r="C57" s="16">
        <v>0.21697916666666664</v>
      </c>
      <c r="D57" s="16">
        <f>C57-'leg 2'!H52</f>
        <v>7.2233796296296282E-2</v>
      </c>
      <c r="E57" s="1">
        <f>VLOOKUP(B57,Registration!$B$3:$C$77,2,FALSE)</f>
        <v>7</v>
      </c>
      <c r="F57" s="1">
        <v>5</v>
      </c>
      <c r="G57" s="16">
        <f t="shared" si="0"/>
        <v>7.5243537808641963E-3</v>
      </c>
    </row>
    <row r="58" spans="1:7" x14ac:dyDescent="0.35">
      <c r="A58" s="1">
        <v>55</v>
      </c>
      <c r="B58">
        <v>28</v>
      </c>
      <c r="C58" s="16">
        <v>0.21884259259259262</v>
      </c>
      <c r="D58" s="16">
        <f>C58-'leg 2'!H58</f>
        <v>6.5405092592592612E-2</v>
      </c>
      <c r="E58" s="1">
        <f>VLOOKUP(B58,Registration!$B$3:$C$77,2,FALSE)</f>
        <v>7</v>
      </c>
      <c r="F58" s="1">
        <v>6</v>
      </c>
      <c r="G58" s="16">
        <f t="shared" si="0"/>
        <v>6.8130304783950643E-3</v>
      </c>
    </row>
    <row r="59" spans="1:7" x14ac:dyDescent="0.35">
      <c r="A59" s="1">
        <v>56</v>
      </c>
      <c r="B59">
        <v>38</v>
      </c>
      <c r="C59" s="16">
        <v>0.22163194444444445</v>
      </c>
      <c r="D59" s="16">
        <f>C59-'leg 2'!H65</f>
        <v>6.0995370370370366E-2</v>
      </c>
      <c r="E59" s="1">
        <f>VLOOKUP(B59,Registration!$B$3:$C$77,2,FALSE)</f>
        <v>8</v>
      </c>
      <c r="F59" s="1">
        <v>14</v>
      </c>
      <c r="G59" s="16">
        <f t="shared" si="0"/>
        <v>6.3536844135802465E-3</v>
      </c>
    </row>
    <row r="60" spans="1:7" x14ac:dyDescent="0.35">
      <c r="A60" s="1">
        <v>57</v>
      </c>
      <c r="B60">
        <v>54</v>
      </c>
      <c r="C60" s="16">
        <v>0.22199074074074074</v>
      </c>
      <c r="D60" s="16">
        <f>C60-'leg 2'!H55</f>
        <v>7.3611111111111127E-2</v>
      </c>
      <c r="E60" s="1">
        <f>VLOOKUP(B60,Registration!$B$3:$C$77,2,FALSE)</f>
        <v>9</v>
      </c>
      <c r="F60" s="1">
        <v>8</v>
      </c>
      <c r="G60" s="16">
        <f t="shared" si="0"/>
        <v>7.667824074074076E-3</v>
      </c>
    </row>
    <row r="61" spans="1:7" x14ac:dyDescent="0.35">
      <c r="A61" s="1">
        <v>58</v>
      </c>
      <c r="B61">
        <v>51</v>
      </c>
      <c r="C61" s="16">
        <v>0.22517361111111112</v>
      </c>
      <c r="D61" s="16">
        <f>C61-'leg 2'!H59</f>
        <v>7.0266203703703706E-2</v>
      </c>
      <c r="E61" s="1">
        <f>VLOOKUP(B61,Registration!$B$3:$C$77,2,FALSE)</f>
        <v>9</v>
      </c>
      <c r="F61" s="1">
        <v>9</v>
      </c>
      <c r="G61" s="16">
        <f t="shared" si="0"/>
        <v>7.319396219135803E-3</v>
      </c>
    </row>
    <row r="62" spans="1:7" x14ac:dyDescent="0.35">
      <c r="A62" s="1">
        <v>59</v>
      </c>
      <c r="B62">
        <v>40</v>
      </c>
      <c r="C62" s="16">
        <v>0.22736111111111112</v>
      </c>
      <c r="D62" s="16">
        <f>C62-'leg 2'!H64</f>
        <v>6.7326388888888894E-2</v>
      </c>
      <c r="E62" s="1">
        <f>VLOOKUP(B62,Registration!$B$3:$C$77,2,FALSE)</f>
        <v>8</v>
      </c>
      <c r="F62" s="1">
        <v>15</v>
      </c>
      <c r="G62" s="16">
        <f t="shared" si="0"/>
        <v>7.0131655092592598E-3</v>
      </c>
    </row>
    <row r="63" spans="1:7" x14ac:dyDescent="0.35">
      <c r="A63" s="1">
        <v>60</v>
      </c>
      <c r="B63">
        <v>67</v>
      </c>
      <c r="C63" s="16">
        <v>0.22886574074074073</v>
      </c>
      <c r="E63" s="1">
        <f>VLOOKUP(B63,Registration!$B$3:$C$77,2,FALSE)</f>
        <v>12</v>
      </c>
      <c r="F63" s="1">
        <v>1</v>
      </c>
      <c r="G63" s="16">
        <f t="shared" si="0"/>
        <v>0</v>
      </c>
    </row>
    <row r="64" spans="1:7" x14ac:dyDescent="0.35">
      <c r="A64" s="1">
        <v>61</v>
      </c>
      <c r="B64">
        <v>26</v>
      </c>
      <c r="C64" s="16">
        <v>0.23292824074074073</v>
      </c>
      <c r="D64" s="16">
        <f>C64-'leg 2'!H66</f>
        <v>6.5509259259259239E-2</v>
      </c>
      <c r="E64" s="1">
        <f>VLOOKUP(B64,Registration!$B$3:$C$77,2,FALSE)</f>
        <v>7</v>
      </c>
      <c r="F64" s="1">
        <v>7</v>
      </c>
      <c r="G64" s="16">
        <f t="shared" si="0"/>
        <v>6.8238811728395044E-3</v>
      </c>
    </row>
    <row r="65" spans="1:7" x14ac:dyDescent="0.35">
      <c r="A65" s="1">
        <v>62</v>
      </c>
      <c r="B65">
        <v>23</v>
      </c>
      <c r="C65" s="16">
        <v>0.2351388888888889</v>
      </c>
      <c r="D65" s="16">
        <f>C65-'Leg 3'!C6</f>
        <v>0.10100694444444444</v>
      </c>
      <c r="E65" s="1">
        <f>VLOOKUP(B65,Registration!$B$3:$C$77,2,FALSE)</f>
        <v>7</v>
      </c>
      <c r="F65" s="1">
        <v>8</v>
      </c>
      <c r="G65" s="16">
        <f t="shared" si="0"/>
        <v>1.0521556712962963E-2</v>
      </c>
    </row>
    <row r="66" spans="1:7" x14ac:dyDescent="0.35">
      <c r="A66" s="1">
        <v>63</v>
      </c>
      <c r="B66">
        <v>52</v>
      </c>
      <c r="C66" s="16">
        <v>0.23532407407407407</v>
      </c>
      <c r="D66" s="16">
        <f>C66-'leg 2'!H57</f>
        <v>8.2395833333333335E-2</v>
      </c>
      <c r="E66" s="1">
        <f>VLOOKUP(B66,Registration!$B$3:$C$77,2,FALSE)</f>
        <v>9</v>
      </c>
      <c r="F66" s="1">
        <v>10</v>
      </c>
      <c r="G66" s="16">
        <f t="shared" si="0"/>
        <v>8.5828993055555563E-3</v>
      </c>
    </row>
    <row r="67" spans="1:7" x14ac:dyDescent="0.35">
      <c r="A67" s="1">
        <v>64</v>
      </c>
      <c r="B67">
        <v>36</v>
      </c>
      <c r="C67" s="16">
        <v>0.23659722222222224</v>
      </c>
      <c r="D67" s="16">
        <f>C67-'leg 2'!H62</f>
        <v>7.9270833333333346E-2</v>
      </c>
      <c r="E67" s="1">
        <f>VLOOKUP(B67,Registration!$B$3:$C$77,2,FALSE)</f>
        <v>8</v>
      </c>
      <c r="F67" s="1">
        <v>16</v>
      </c>
      <c r="G67" s="16">
        <f t="shared" si="0"/>
        <v>8.2573784722222241E-3</v>
      </c>
    </row>
    <row r="68" spans="1:7" x14ac:dyDescent="0.35">
      <c r="A68" s="1">
        <v>65</v>
      </c>
      <c r="B68">
        <v>13</v>
      </c>
      <c r="C68" s="16">
        <v>0.24019675925925923</v>
      </c>
      <c r="D68" s="16">
        <f>C68-'leg 2'!H63</f>
        <v>8.0752314814814791E-2</v>
      </c>
      <c r="E68" s="1">
        <f>VLOOKUP(B68,Registration!$B$3:$C$77,2,FALSE)</f>
        <v>4</v>
      </c>
      <c r="F68" s="1">
        <v>1</v>
      </c>
      <c r="G68" s="16">
        <f t="shared" si="0"/>
        <v>8.4116994598765413E-3</v>
      </c>
    </row>
    <row r="69" spans="1:7" x14ac:dyDescent="0.35">
      <c r="A69" s="1"/>
      <c r="E69" s="1"/>
      <c r="G69" s="16"/>
    </row>
    <row r="70" spans="1:7" x14ac:dyDescent="0.35">
      <c r="E70" s="1"/>
      <c r="G70" s="16"/>
    </row>
    <row r="71" spans="1:7" x14ac:dyDescent="0.35">
      <c r="E71" s="1"/>
    </row>
    <row r="72" spans="1:7" x14ac:dyDescent="0.35">
      <c r="E72" s="1"/>
    </row>
    <row r="73" spans="1:7" x14ac:dyDescent="0.35">
      <c r="E73" s="1"/>
    </row>
    <row r="74" spans="1:7" x14ac:dyDescent="0.35">
      <c r="E74" s="1"/>
    </row>
    <row r="75" spans="1:7" x14ac:dyDescent="0.35">
      <c r="E75" s="1"/>
    </row>
    <row r="76" spans="1:7" x14ac:dyDescent="0.35">
      <c r="E76" s="1"/>
    </row>
    <row r="77" spans="1:7" x14ac:dyDescent="0.35">
      <c r="E7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43" workbookViewId="0">
      <selection activeCell="D69" sqref="D69"/>
    </sheetView>
  </sheetViews>
  <sheetFormatPr defaultColWidth="8.81640625" defaultRowHeight="14.5" x14ac:dyDescent="0.35"/>
  <cols>
    <col min="1" max="2" width="6.81640625" style="1" customWidth="1"/>
    <col min="3" max="3" width="9.36328125" style="29" customWidth="1"/>
    <col min="4" max="4" width="8.453125" style="29" customWidth="1"/>
    <col min="5" max="5" width="6.81640625" style="1" customWidth="1"/>
  </cols>
  <sheetData>
    <row r="1" spans="1:7" ht="18.5" x14ac:dyDescent="0.45">
      <c r="A1" s="17" t="s">
        <v>13</v>
      </c>
      <c r="B1" s="21" t="s">
        <v>3</v>
      </c>
      <c r="C1" s="28"/>
      <c r="D1" s="28"/>
      <c r="E1" s="21"/>
      <c r="F1" s="5"/>
    </row>
    <row r="2" spans="1:7" ht="18.5" x14ac:dyDescent="0.45">
      <c r="B2" s="21"/>
      <c r="C2" s="28"/>
      <c r="D2" s="28"/>
      <c r="E2" s="21"/>
      <c r="F2" s="5"/>
      <c r="G2" s="37" t="s">
        <v>91</v>
      </c>
    </row>
    <row r="3" spans="1:7" ht="15.5" x14ac:dyDescent="0.35">
      <c r="A3" s="13" t="s">
        <v>17</v>
      </c>
      <c r="B3" s="6" t="s">
        <v>6</v>
      </c>
      <c r="C3" s="22" t="s">
        <v>16</v>
      </c>
      <c r="D3" s="22" t="s">
        <v>2</v>
      </c>
      <c r="E3" s="6" t="s">
        <v>0</v>
      </c>
      <c r="F3" s="9" t="s">
        <v>1</v>
      </c>
      <c r="G3" s="23" t="s">
        <v>89</v>
      </c>
    </row>
    <row r="4" spans="1:7" x14ac:dyDescent="0.35">
      <c r="A4" s="1">
        <v>1</v>
      </c>
      <c r="B4" s="1">
        <v>68</v>
      </c>
      <c r="C4" s="29">
        <v>0.16359953703703703</v>
      </c>
      <c r="D4" s="29">
        <f>C4-'Leg 3'!C4</f>
        <v>3.6805555555555536E-2</v>
      </c>
      <c r="E4" s="1">
        <f>VLOOKUP(B4,Registration!$B$3:$C$77,2,FALSE)</f>
        <v>1</v>
      </c>
      <c r="F4" s="1">
        <v>1</v>
      </c>
      <c r="G4" s="16">
        <f>D4/9.5</f>
        <v>3.8742690058479511E-3</v>
      </c>
    </row>
    <row r="5" spans="1:7" x14ac:dyDescent="0.35">
      <c r="A5" s="1">
        <v>2</v>
      </c>
      <c r="B5" s="1">
        <v>1</v>
      </c>
      <c r="C5" s="29">
        <v>0.16717592592592592</v>
      </c>
      <c r="D5" s="29">
        <f>C5-'Leg 3'!C5</f>
        <v>3.7743055555555544E-2</v>
      </c>
      <c r="E5" s="1">
        <f>VLOOKUP(B5,Registration!$B$3:$C$77,2,FALSE)</f>
        <v>1</v>
      </c>
      <c r="F5" s="1">
        <v>2</v>
      </c>
      <c r="G5" s="16">
        <f t="shared" ref="G5:G68" si="0">D5/9.5</f>
        <v>3.9729532163742679E-3</v>
      </c>
    </row>
    <row r="6" spans="1:7" x14ac:dyDescent="0.35">
      <c r="A6" s="1">
        <v>3</v>
      </c>
      <c r="B6" s="1">
        <v>9</v>
      </c>
      <c r="C6" s="29">
        <v>0.17549768518518519</v>
      </c>
      <c r="D6" s="29">
        <f>C6-'Leg 3'!C9</f>
        <v>3.6331018518518526E-2</v>
      </c>
      <c r="E6" s="1">
        <f>VLOOKUP(B6,Registration!$B$3:$C$77,2,FALSE)</f>
        <v>2</v>
      </c>
      <c r="F6" s="1">
        <v>1</v>
      </c>
      <c r="G6" s="16">
        <f t="shared" si="0"/>
        <v>3.8243177387914237E-3</v>
      </c>
    </row>
    <row r="7" spans="1:7" x14ac:dyDescent="0.35">
      <c r="A7" s="1">
        <v>4</v>
      </c>
      <c r="B7" s="1">
        <v>7</v>
      </c>
      <c r="C7" s="29">
        <v>0.1771527777777778</v>
      </c>
      <c r="D7" s="29">
        <f>C7-'Leg 3'!C7</f>
        <v>4.1666666666666685E-2</v>
      </c>
      <c r="E7" s="1">
        <f>VLOOKUP(B7,Registration!$B$3:$C$77,2,FALSE)</f>
        <v>1</v>
      </c>
      <c r="F7" s="1">
        <v>3</v>
      </c>
      <c r="G7" s="16">
        <f t="shared" si="0"/>
        <v>4.3859649122807041E-3</v>
      </c>
    </row>
    <row r="8" spans="1:7" x14ac:dyDescent="0.35">
      <c r="A8" s="1">
        <v>5</v>
      </c>
      <c r="B8" s="1">
        <v>5</v>
      </c>
      <c r="C8" s="29">
        <v>0.17966435185185184</v>
      </c>
      <c r="D8" s="29">
        <f>C8-'Leg 3'!C6</f>
        <v>4.5532407407407383E-2</v>
      </c>
      <c r="E8" s="1">
        <f>VLOOKUP(B8,Registration!$B$3:$C$77,2,FALSE)</f>
        <v>1</v>
      </c>
      <c r="F8" s="1">
        <v>4</v>
      </c>
      <c r="G8" s="16">
        <f t="shared" si="0"/>
        <v>4.7928849902534086E-3</v>
      </c>
    </row>
    <row r="9" spans="1:7" x14ac:dyDescent="0.35">
      <c r="A9" s="1">
        <v>6</v>
      </c>
      <c r="B9" s="1">
        <v>2</v>
      </c>
      <c r="C9" s="29">
        <v>0.18268518518518517</v>
      </c>
      <c r="D9" s="29">
        <f>C9-'Leg 3'!C8</f>
        <v>4.5115740740740734E-2</v>
      </c>
      <c r="E9" s="1">
        <f>VLOOKUP(B9,Registration!$B$3:$C$77,2,FALSE)</f>
        <v>1</v>
      </c>
      <c r="F9" s="1">
        <v>5</v>
      </c>
      <c r="G9" s="16">
        <f t="shared" si="0"/>
        <v>4.7490253411306034E-3</v>
      </c>
    </row>
    <row r="10" spans="1:7" x14ac:dyDescent="0.35">
      <c r="A10" s="1">
        <v>7</v>
      </c>
      <c r="B10" s="1">
        <v>18</v>
      </c>
      <c r="C10" s="29">
        <v>0.1907986111111111</v>
      </c>
      <c r="D10" s="29">
        <f>C10-'Leg 3'!C10</f>
        <v>4.6631944444444434E-2</v>
      </c>
      <c r="E10" s="1">
        <f>VLOOKUP(B10,Registration!$B$3:$C$77,2,FALSE)</f>
        <v>6</v>
      </c>
      <c r="F10" s="1">
        <v>1</v>
      </c>
      <c r="G10" s="16">
        <f t="shared" si="0"/>
        <v>4.9086257309941513E-3</v>
      </c>
    </row>
    <row r="11" spans="1:7" x14ac:dyDescent="0.35">
      <c r="A11" s="1">
        <v>8</v>
      </c>
      <c r="B11" s="1">
        <v>47</v>
      </c>
      <c r="C11" s="29">
        <v>0.19412037037037036</v>
      </c>
      <c r="D11" s="29">
        <f>C11-'Leg 3'!C11</f>
        <v>4.9456018518518496E-2</v>
      </c>
      <c r="E11" s="1">
        <f>VLOOKUP(B11,Registration!$B$3:$C$77,2,FALSE)</f>
        <v>8</v>
      </c>
      <c r="F11" s="1">
        <v>1</v>
      </c>
      <c r="G11" s="16">
        <f t="shared" si="0"/>
        <v>5.2058966861598414E-3</v>
      </c>
    </row>
    <row r="12" spans="1:7" x14ac:dyDescent="0.35">
      <c r="A12" s="1">
        <v>9</v>
      </c>
      <c r="B12" s="1">
        <v>43</v>
      </c>
      <c r="C12" s="29">
        <v>0.1998263888888889</v>
      </c>
      <c r="D12" s="29">
        <f>C12-'Leg 3'!C12</f>
        <v>4.925925925925928E-2</v>
      </c>
      <c r="E12" s="1">
        <f>VLOOKUP(B12,Registration!$B$3:$C$77,2,FALSE)</f>
        <v>8</v>
      </c>
      <c r="F12" s="1">
        <v>2</v>
      </c>
      <c r="G12" s="16">
        <f t="shared" si="0"/>
        <v>5.1851851851851876E-3</v>
      </c>
    </row>
    <row r="13" spans="1:7" x14ac:dyDescent="0.35">
      <c r="A13" s="1">
        <v>10</v>
      </c>
      <c r="B13" s="1">
        <v>45</v>
      </c>
      <c r="C13" s="29">
        <v>0.20067129629629629</v>
      </c>
      <c r="D13" s="29">
        <f>C13-'Leg 3'!C16</f>
        <v>4.1261574074074076E-2</v>
      </c>
      <c r="E13" s="1">
        <f>VLOOKUP(B13,Registration!$B$3:$C$77,2,FALSE)</f>
        <v>8</v>
      </c>
      <c r="F13" s="1">
        <v>3</v>
      </c>
      <c r="G13" s="16">
        <f t="shared" si="0"/>
        <v>4.3433235867446395E-3</v>
      </c>
    </row>
    <row r="14" spans="1:7" x14ac:dyDescent="0.35">
      <c r="A14" s="1">
        <v>11</v>
      </c>
      <c r="B14" s="1">
        <v>59</v>
      </c>
      <c r="C14" s="29">
        <v>0.20386574074074074</v>
      </c>
      <c r="D14" s="29">
        <f>C14-'Leg 3'!C15</f>
        <v>4.5960648148148153E-2</v>
      </c>
      <c r="E14" s="1">
        <f>VLOOKUP(B14,Registration!$B$3:$C$77,2,FALSE)</f>
        <v>10</v>
      </c>
      <c r="F14" s="1">
        <v>1</v>
      </c>
      <c r="G14" s="16">
        <f t="shared" si="0"/>
        <v>4.8379629629629632E-3</v>
      </c>
    </row>
    <row r="15" spans="1:7" x14ac:dyDescent="0.35">
      <c r="A15" s="1">
        <v>12</v>
      </c>
      <c r="B15" s="1">
        <v>6</v>
      </c>
      <c r="C15" s="29">
        <v>0.20702546296296295</v>
      </c>
      <c r="D15" s="29">
        <f>C15-'Leg 3'!C13</f>
        <v>5.2210648148148131E-2</v>
      </c>
      <c r="E15" s="1">
        <f>VLOOKUP(B15,Registration!$B$3:$C$77,2,FALSE)</f>
        <v>1</v>
      </c>
      <c r="F15" s="1">
        <v>6</v>
      </c>
      <c r="G15" s="16">
        <f t="shared" si="0"/>
        <v>5.4958576998050662E-3</v>
      </c>
    </row>
    <row r="16" spans="1:7" x14ac:dyDescent="0.35">
      <c r="A16" s="1">
        <v>13</v>
      </c>
      <c r="B16" s="1">
        <v>17</v>
      </c>
      <c r="C16" s="29">
        <v>0.20725694444444445</v>
      </c>
      <c r="D16" s="29">
        <f>C16-'Leg 3'!C17</f>
        <v>4.7199074074074088E-2</v>
      </c>
      <c r="E16" s="1">
        <f>VLOOKUP(B16,Registration!$B$3:$C$77,2,FALSE)</f>
        <v>6</v>
      </c>
      <c r="F16" s="1">
        <v>2</v>
      </c>
      <c r="G16" s="16">
        <f t="shared" si="0"/>
        <v>4.9683235867446409E-3</v>
      </c>
    </row>
    <row r="17" spans="1:7" x14ac:dyDescent="0.35">
      <c r="A17" s="1">
        <v>14</v>
      </c>
      <c r="B17" s="1">
        <v>63</v>
      </c>
      <c r="C17" s="29">
        <v>0.20803240740740739</v>
      </c>
      <c r="D17" s="29">
        <f>C17-'Leg 3'!C14</f>
        <v>5.0243055555555527E-2</v>
      </c>
      <c r="E17" s="1">
        <f>VLOOKUP(B17,Registration!$B$3:$C$77,2,FALSE)</f>
        <v>10</v>
      </c>
      <c r="F17" s="1">
        <v>2</v>
      </c>
      <c r="G17" s="16">
        <f t="shared" si="0"/>
        <v>5.2887426900584764E-3</v>
      </c>
    </row>
    <row r="18" spans="1:7" x14ac:dyDescent="0.35">
      <c r="A18" s="1">
        <v>15</v>
      </c>
      <c r="B18" s="1">
        <v>4</v>
      </c>
      <c r="C18" s="29">
        <v>0.21232638888888888</v>
      </c>
      <c r="D18" s="29">
        <f>C18-'Leg 3'!C19</f>
        <v>4.9398148148148135E-2</v>
      </c>
      <c r="E18" s="1">
        <f>VLOOKUP(B18,Registration!$B$3:$C$77,2,FALSE)</f>
        <v>1</v>
      </c>
      <c r="F18" s="1">
        <v>7</v>
      </c>
      <c r="G18" s="16">
        <f t="shared" si="0"/>
        <v>5.1998050682261193E-3</v>
      </c>
    </row>
    <row r="19" spans="1:7" x14ac:dyDescent="0.35">
      <c r="A19" s="1">
        <v>16</v>
      </c>
      <c r="B19" s="1">
        <v>58</v>
      </c>
      <c r="C19" s="29">
        <v>0.21234953703703704</v>
      </c>
      <c r="D19" s="29">
        <f>C19-'Leg 3'!C20</f>
        <v>4.7326388888888904E-2</v>
      </c>
      <c r="E19" s="1">
        <f>VLOOKUP(B19,Registration!$B$3:$C$77,2,FALSE)</f>
        <v>10</v>
      </c>
      <c r="F19" s="1">
        <v>3</v>
      </c>
      <c r="G19" s="16">
        <f t="shared" si="0"/>
        <v>4.9817251461988319E-3</v>
      </c>
    </row>
    <row r="20" spans="1:7" x14ac:dyDescent="0.35">
      <c r="A20" s="1">
        <v>17</v>
      </c>
      <c r="B20" s="1">
        <v>34</v>
      </c>
      <c r="C20" s="29">
        <v>0.21326388888888889</v>
      </c>
      <c r="D20" s="29">
        <f>C20-'Leg 3'!C22</f>
        <v>4.6493055555555551E-2</v>
      </c>
      <c r="E20" s="1">
        <f>VLOOKUP(B20,Registration!$B$3:$C$77,2,FALSE)</f>
        <v>8</v>
      </c>
      <c r="F20" s="1">
        <v>4</v>
      </c>
      <c r="G20" s="16">
        <f t="shared" si="0"/>
        <v>4.8940058479532162E-3</v>
      </c>
    </row>
    <row r="21" spans="1:7" x14ac:dyDescent="0.35">
      <c r="A21" s="1">
        <v>18</v>
      </c>
      <c r="B21" s="1">
        <v>53</v>
      </c>
      <c r="C21" s="29">
        <v>0.21516203703703704</v>
      </c>
      <c r="D21" s="29">
        <f>C21-'Leg 3'!C23</f>
        <v>4.8043981481481479E-2</v>
      </c>
      <c r="E21" s="1">
        <f>VLOOKUP(B21,Registration!$B$3:$C$77,2,FALSE)</f>
        <v>9</v>
      </c>
      <c r="F21" s="1">
        <v>1</v>
      </c>
      <c r="G21" s="16">
        <f t="shared" si="0"/>
        <v>5.0572612085769981E-3</v>
      </c>
    </row>
    <row r="22" spans="1:7" x14ac:dyDescent="0.35">
      <c r="A22" s="1">
        <v>19</v>
      </c>
      <c r="B22" s="1">
        <v>62</v>
      </c>
      <c r="C22" s="29">
        <v>0.21885416666666668</v>
      </c>
      <c r="D22" s="29">
        <f>C22-'Leg 3'!C21</f>
        <v>5.3564814814814815E-2</v>
      </c>
      <c r="E22" s="1">
        <f>VLOOKUP(B22,Registration!$B$3:$C$77,2,FALSE)</f>
        <v>10</v>
      </c>
      <c r="F22" s="1">
        <v>4</v>
      </c>
      <c r="G22" s="16">
        <f t="shared" si="0"/>
        <v>5.6384015594541908E-3</v>
      </c>
    </row>
    <row r="23" spans="1:7" x14ac:dyDescent="0.35">
      <c r="A23" s="1">
        <v>20</v>
      </c>
      <c r="B23" s="1">
        <v>65</v>
      </c>
      <c r="C23" s="29">
        <v>0.21981481481481482</v>
      </c>
      <c r="D23" s="29">
        <f>C23-'Leg 3'!C18</f>
        <v>5.9583333333333349E-2</v>
      </c>
      <c r="E23" s="1">
        <f>VLOOKUP(B23,Registration!$B$3:$C$77,2,FALSE)</f>
        <v>10</v>
      </c>
      <c r="F23" s="1">
        <v>5</v>
      </c>
      <c r="G23" s="16">
        <f t="shared" si="0"/>
        <v>6.2719298245614051E-3</v>
      </c>
    </row>
    <row r="24" spans="1:7" x14ac:dyDescent="0.35">
      <c r="A24" s="1">
        <v>21</v>
      </c>
      <c r="B24" s="1">
        <v>15</v>
      </c>
      <c r="C24" s="29">
        <v>0.22016203703703704</v>
      </c>
      <c r="D24" s="29">
        <f>C24-'Leg 3'!C24</f>
        <v>4.9641203703703701E-2</v>
      </c>
      <c r="E24" s="1">
        <f>VLOOKUP(B24,Registration!$B$3:$C$77,2,FALSE)</f>
        <v>6</v>
      </c>
      <c r="F24" s="1">
        <v>3</v>
      </c>
      <c r="G24" s="16">
        <f t="shared" si="0"/>
        <v>5.225389863547758E-3</v>
      </c>
    </row>
    <row r="25" spans="1:7" x14ac:dyDescent="0.35">
      <c r="A25" s="1">
        <v>22</v>
      </c>
      <c r="B25" s="1">
        <v>46</v>
      </c>
      <c r="C25" s="29">
        <v>0.22814814814814813</v>
      </c>
      <c r="D25" s="29">
        <f>C25-'Leg 3'!C26</f>
        <v>5.4988425925925899E-2</v>
      </c>
      <c r="E25" s="1">
        <f>VLOOKUP(B25,Registration!$B$3:$C$77,2,FALSE)</f>
        <v>8</v>
      </c>
      <c r="F25" s="1">
        <v>5</v>
      </c>
      <c r="G25" s="16">
        <f t="shared" si="0"/>
        <v>5.7882553606237791E-3</v>
      </c>
    </row>
    <row r="26" spans="1:7" x14ac:dyDescent="0.35">
      <c r="A26" s="1">
        <v>23</v>
      </c>
      <c r="B26" s="1">
        <v>56</v>
      </c>
      <c r="C26" s="29">
        <v>0.22868055555555555</v>
      </c>
      <c r="D26" s="29">
        <f>C26-'Leg 3'!C29</f>
        <v>4.9687499999999996E-2</v>
      </c>
      <c r="E26" s="1">
        <f>VLOOKUP(B26,Registration!$B$3:$C$77,2,FALSE)</f>
        <v>9</v>
      </c>
      <c r="F26" s="1">
        <v>2</v>
      </c>
      <c r="G26" s="16">
        <f t="shared" si="0"/>
        <v>5.2302631578947361E-3</v>
      </c>
    </row>
    <row r="27" spans="1:7" x14ac:dyDescent="0.35">
      <c r="A27" s="1">
        <v>24</v>
      </c>
      <c r="B27" s="1">
        <v>44</v>
      </c>
      <c r="C27" s="29">
        <v>0.2315625</v>
      </c>
      <c r="D27" s="29">
        <f>C27-'Leg 3'!C25</f>
        <v>6.050925925925929E-2</v>
      </c>
      <c r="E27" s="1">
        <f>VLOOKUP(B27,Registration!$B$3:$C$77,2,FALSE)</f>
        <v>8</v>
      </c>
      <c r="F27" s="1">
        <v>6</v>
      </c>
      <c r="G27" s="16">
        <f t="shared" si="0"/>
        <v>6.3693957115009778E-3</v>
      </c>
    </row>
    <row r="28" spans="1:7" x14ac:dyDescent="0.35">
      <c r="A28" s="1">
        <v>25</v>
      </c>
      <c r="B28" s="1">
        <v>30</v>
      </c>
      <c r="C28" s="29">
        <v>0.23525462962962962</v>
      </c>
      <c r="D28" s="29">
        <f>C28-'Leg 3'!C27</f>
        <v>5.8148148148148143E-2</v>
      </c>
      <c r="E28" s="1">
        <f>VLOOKUP(B28,Registration!$B$3:$C$77,2,FALSE)</f>
        <v>8</v>
      </c>
      <c r="F28" s="1">
        <v>7</v>
      </c>
      <c r="G28" s="16">
        <f t="shared" si="0"/>
        <v>6.1208576998050676E-3</v>
      </c>
    </row>
    <row r="29" spans="1:7" x14ac:dyDescent="0.35">
      <c r="A29" s="1">
        <v>26</v>
      </c>
      <c r="B29" s="1">
        <v>61</v>
      </c>
      <c r="C29" s="29">
        <v>0.23547453703703702</v>
      </c>
      <c r="D29" s="29">
        <f>C29-'Leg 3'!C41</f>
        <v>4.7152777777777738E-2</v>
      </c>
      <c r="E29" s="1">
        <f>VLOOKUP(B29,Registration!$B$3:$C$77,2,FALSE)</f>
        <v>10</v>
      </c>
      <c r="F29" s="1">
        <v>6</v>
      </c>
      <c r="G29" s="16">
        <f t="shared" si="0"/>
        <v>4.9634502923976568E-3</v>
      </c>
    </row>
    <row r="30" spans="1:7" x14ac:dyDescent="0.35">
      <c r="A30" s="1">
        <v>27</v>
      </c>
      <c r="B30" s="1">
        <v>19</v>
      </c>
      <c r="C30" s="29">
        <v>0.23675925925925925</v>
      </c>
      <c r="D30" s="29">
        <f>C30-'Leg 3'!C40</f>
        <v>4.8657407407407371E-2</v>
      </c>
      <c r="E30" s="1">
        <f>VLOOKUP(B30,Registration!$B$3:$C$77,2,FALSE)</f>
        <v>6</v>
      </c>
      <c r="F30" s="1">
        <v>4</v>
      </c>
      <c r="G30" s="16">
        <f t="shared" si="0"/>
        <v>5.1218323586744606E-3</v>
      </c>
    </row>
    <row r="31" spans="1:7" x14ac:dyDescent="0.35">
      <c r="A31" s="1">
        <v>28</v>
      </c>
      <c r="B31" s="1">
        <v>57</v>
      </c>
      <c r="C31" s="29">
        <v>0.23821759259259259</v>
      </c>
      <c r="D31" s="29">
        <f>C31-'Leg 3'!C35</f>
        <v>5.5856481481481479E-2</v>
      </c>
      <c r="E31" s="1">
        <f>VLOOKUP(B31,Registration!$B$3:$C$77,2,FALSE)</f>
        <v>9</v>
      </c>
      <c r="F31" s="1">
        <v>3</v>
      </c>
      <c r="G31" s="16">
        <f t="shared" si="0"/>
        <v>5.8796296296296296E-3</v>
      </c>
    </row>
    <row r="32" spans="1:7" x14ac:dyDescent="0.35">
      <c r="A32" s="1">
        <v>29</v>
      </c>
      <c r="B32" s="1">
        <v>31</v>
      </c>
      <c r="C32" s="29">
        <v>0.23989583333333334</v>
      </c>
      <c r="D32" s="29">
        <f>C32-'Leg 3'!C34</f>
        <v>5.7696759259259267E-2</v>
      </c>
      <c r="E32" s="1">
        <f>VLOOKUP(B32,Registration!$B$3:$C$77,2,FALSE)</f>
        <v>8</v>
      </c>
      <c r="F32" s="1">
        <v>8</v>
      </c>
      <c r="G32" s="16">
        <f t="shared" si="0"/>
        <v>6.0733430799220283E-3</v>
      </c>
    </row>
    <row r="33" spans="1:7" x14ac:dyDescent="0.35">
      <c r="A33" s="1">
        <v>30</v>
      </c>
      <c r="B33" s="1">
        <v>22</v>
      </c>
      <c r="C33" s="29">
        <v>0.24032407407407408</v>
      </c>
      <c r="D33" s="29">
        <f>C33-'Leg 3'!C32</f>
        <v>5.9699074074074071E-2</v>
      </c>
      <c r="E33" s="1">
        <f>VLOOKUP(B33,Registration!$B$3:$C$77,2,FALSE)</f>
        <v>7</v>
      </c>
      <c r="F33" s="1">
        <v>1</v>
      </c>
      <c r="G33" s="16">
        <f t="shared" si="0"/>
        <v>6.2841130604288494E-3</v>
      </c>
    </row>
    <row r="34" spans="1:7" x14ac:dyDescent="0.35">
      <c r="A34" s="1">
        <v>31</v>
      </c>
      <c r="B34" s="1">
        <v>29</v>
      </c>
      <c r="C34" s="29">
        <v>0.24052083333333332</v>
      </c>
      <c r="D34" s="29">
        <f>C34-'Leg 3'!C39</f>
        <v>5.32060185185185E-2</v>
      </c>
      <c r="E34" s="1">
        <f>VLOOKUP(B34,Registration!$B$3:$C$77,2,FALSE)</f>
        <v>8</v>
      </c>
      <c r="F34" s="1">
        <v>8</v>
      </c>
      <c r="G34" s="16">
        <f t="shared" si="0"/>
        <v>5.6006335282651051E-3</v>
      </c>
    </row>
    <row r="35" spans="1:7" x14ac:dyDescent="0.35">
      <c r="A35" s="1">
        <v>32</v>
      </c>
      <c r="B35" s="1">
        <v>11</v>
      </c>
      <c r="C35" s="29">
        <v>0.24208333333333334</v>
      </c>
      <c r="D35" s="29">
        <f>C35-'Leg 3'!C38</f>
        <v>5.5312500000000014E-2</v>
      </c>
      <c r="E35" s="1">
        <f>VLOOKUP(B35,Registration!$B$3:$C$77,2,FALSE)</f>
        <v>3</v>
      </c>
      <c r="F35" s="1">
        <v>1</v>
      </c>
      <c r="G35" s="16">
        <f t="shared" si="0"/>
        <v>5.8223684210526334E-3</v>
      </c>
    </row>
    <row r="36" spans="1:7" x14ac:dyDescent="0.35">
      <c r="A36" s="1">
        <v>33</v>
      </c>
      <c r="B36" s="1">
        <v>20</v>
      </c>
      <c r="C36" s="29">
        <v>0.24255787037037035</v>
      </c>
      <c r="D36" s="29">
        <f>C36-'Leg 3'!C42</f>
        <v>5.3391203703703677E-2</v>
      </c>
      <c r="E36" s="1">
        <f>VLOOKUP(B36,Registration!$B$3:$C$77,2,FALSE)</f>
        <v>6</v>
      </c>
      <c r="F36" s="1">
        <v>5</v>
      </c>
      <c r="G36" s="16">
        <f t="shared" si="0"/>
        <v>5.6201267056530183E-3</v>
      </c>
    </row>
    <row r="37" spans="1:7" x14ac:dyDescent="0.35">
      <c r="A37" s="1">
        <v>34</v>
      </c>
      <c r="B37" s="1">
        <v>32</v>
      </c>
      <c r="C37" s="29">
        <v>0.24287037037037038</v>
      </c>
      <c r="D37" s="29">
        <f>C37-'Leg 3'!C31</f>
        <v>6.2662037037037044E-2</v>
      </c>
      <c r="E37" s="1">
        <f>VLOOKUP(B37,Registration!$B$3:$C$77,2,FALSE)</f>
        <v>8</v>
      </c>
      <c r="F37" s="1">
        <v>9</v>
      </c>
      <c r="G37" s="16">
        <f t="shared" si="0"/>
        <v>6.5960038986354781E-3</v>
      </c>
    </row>
    <row r="38" spans="1:7" x14ac:dyDescent="0.35">
      <c r="A38" s="1">
        <v>35</v>
      </c>
      <c r="B38" s="1">
        <v>10</v>
      </c>
      <c r="C38" s="29">
        <v>0.24292824074074074</v>
      </c>
      <c r="D38" s="29">
        <f>C38-'Leg 3'!C36</f>
        <v>5.8865740740740718E-2</v>
      </c>
      <c r="E38" s="1">
        <f>VLOOKUP(B38,Registration!$B$3:$C$77,2,FALSE)</f>
        <v>3</v>
      </c>
      <c r="F38" s="1">
        <v>2</v>
      </c>
      <c r="G38" s="16">
        <f t="shared" si="0"/>
        <v>6.1963937621832338E-3</v>
      </c>
    </row>
    <row r="39" spans="1:7" x14ac:dyDescent="0.35">
      <c r="A39" s="1">
        <v>36</v>
      </c>
      <c r="B39" s="1">
        <v>16</v>
      </c>
      <c r="C39" s="29">
        <v>0.245</v>
      </c>
      <c r="D39" s="29">
        <f>C39-'Leg 3'!C37</f>
        <v>5.9421296296296305E-2</v>
      </c>
      <c r="E39" s="1">
        <f>VLOOKUP(B39,Registration!$B$3:$C$77,2,FALSE)</f>
        <v>6</v>
      </c>
      <c r="F39" s="1">
        <v>6</v>
      </c>
      <c r="G39" s="16">
        <f t="shared" si="0"/>
        <v>6.2548732943469793E-3</v>
      </c>
    </row>
    <row r="40" spans="1:7" x14ac:dyDescent="0.35">
      <c r="A40" s="1">
        <v>37</v>
      </c>
      <c r="B40" s="1">
        <v>41</v>
      </c>
      <c r="C40" s="29">
        <v>0.24504629629629629</v>
      </c>
      <c r="D40" s="29">
        <f>C40-'Leg 3'!C45</f>
        <v>4.8599537037037038E-2</v>
      </c>
      <c r="E40" s="1">
        <f>VLOOKUP(B40,Registration!$B$3:$C$77,2,FALSE)</f>
        <v>8</v>
      </c>
      <c r="F40" s="1">
        <v>9</v>
      </c>
      <c r="G40" s="16">
        <f t="shared" si="0"/>
        <v>5.115740740740741E-3</v>
      </c>
    </row>
    <row r="41" spans="1:7" x14ac:dyDescent="0.35">
      <c r="A41" s="1">
        <v>38</v>
      </c>
      <c r="B41" s="1">
        <v>25</v>
      </c>
      <c r="C41" s="29">
        <v>0.24638888888888888</v>
      </c>
      <c r="D41" s="29">
        <f>C41-'Leg 3'!C30</f>
        <v>6.6296296296296298E-2</v>
      </c>
      <c r="E41" s="1">
        <f>VLOOKUP(B41,Registration!$B$3:$C$77,2,FALSE)</f>
        <v>7</v>
      </c>
      <c r="F41" s="1">
        <v>2</v>
      </c>
      <c r="G41" s="16">
        <f t="shared" si="0"/>
        <v>6.9785575048732949E-3</v>
      </c>
    </row>
    <row r="42" spans="1:7" x14ac:dyDescent="0.35">
      <c r="A42" s="1">
        <v>39</v>
      </c>
      <c r="B42" s="1">
        <v>39</v>
      </c>
      <c r="C42" s="29">
        <v>0.25467592592592592</v>
      </c>
      <c r="D42" s="29">
        <f>C42-'Leg 3'!C44</f>
        <v>5.9097222222222218E-2</v>
      </c>
      <c r="E42" s="1">
        <f>VLOOKUP(B42,Registration!$B$3:$C$77,2,FALSE)</f>
        <v>8</v>
      </c>
      <c r="F42" s="1">
        <v>10</v>
      </c>
      <c r="G42" s="16">
        <f t="shared" si="0"/>
        <v>6.2207602339181284E-3</v>
      </c>
    </row>
    <row r="43" spans="1:7" x14ac:dyDescent="0.35">
      <c r="A43" s="1">
        <v>40</v>
      </c>
      <c r="B43" s="1">
        <v>48</v>
      </c>
      <c r="C43" s="29">
        <v>0.25582175925925926</v>
      </c>
      <c r="D43" s="29">
        <f>C43-'Leg 3'!C52</f>
        <v>4.9629629629629635E-2</v>
      </c>
      <c r="E43" s="1">
        <f>VLOOKUP(B43,Registration!$B$3:$C$77,2,FALSE)</f>
        <v>9</v>
      </c>
      <c r="F43" s="1">
        <v>4</v>
      </c>
      <c r="G43" s="16">
        <f t="shared" si="0"/>
        <v>5.2241715399610139E-3</v>
      </c>
    </row>
    <row r="44" spans="1:7" x14ac:dyDescent="0.35">
      <c r="A44" s="1">
        <v>41</v>
      </c>
      <c r="B44" s="1">
        <v>24</v>
      </c>
      <c r="C44" s="29">
        <v>0.25813657407407409</v>
      </c>
      <c r="D44" s="29">
        <f>C44-'Leg 3'!C47</f>
        <v>5.9363425925925944E-2</v>
      </c>
      <c r="E44" s="1">
        <f>VLOOKUP(B44,Registration!$B$3:$C$77,2,FALSE)</f>
        <v>7</v>
      </c>
      <c r="F44" s="1">
        <v>3</v>
      </c>
      <c r="G44" s="16">
        <f t="shared" si="0"/>
        <v>6.2487816764132571E-3</v>
      </c>
    </row>
    <row r="45" spans="1:7" x14ac:dyDescent="0.35">
      <c r="A45" s="1">
        <v>42</v>
      </c>
      <c r="B45" s="1">
        <v>33</v>
      </c>
      <c r="C45" s="29">
        <v>0.25914351851851852</v>
      </c>
      <c r="D45" s="29">
        <f>C45-'Leg 3'!C33</f>
        <v>7.7731481481481485E-2</v>
      </c>
      <c r="E45" s="1">
        <f>VLOOKUP(B45,Registration!$B$3:$C$77,2,FALSE)</f>
        <v>8</v>
      </c>
      <c r="F45" s="1">
        <v>11</v>
      </c>
      <c r="G45" s="16">
        <f t="shared" si="0"/>
        <v>8.1822612085769991E-3</v>
      </c>
    </row>
    <row r="46" spans="1:7" x14ac:dyDescent="0.35">
      <c r="A46" s="1">
        <v>43</v>
      </c>
      <c r="B46" s="1">
        <v>21</v>
      </c>
      <c r="C46" s="29">
        <v>0.25934027777777779</v>
      </c>
      <c r="D46" s="29">
        <f>C46-'Leg 3'!C49</f>
        <v>5.7997685185185194E-2</v>
      </c>
      <c r="E46" s="1">
        <f>VLOOKUP(B46,Registration!$B$3:$C$77,2,FALSE)</f>
        <v>7</v>
      </c>
      <c r="F46" s="1">
        <v>4</v>
      </c>
      <c r="G46" s="16">
        <f t="shared" si="0"/>
        <v>6.1050194931773884E-3</v>
      </c>
    </row>
    <row r="47" spans="1:7" x14ac:dyDescent="0.35">
      <c r="A47" s="1">
        <v>44</v>
      </c>
      <c r="B47" s="1">
        <v>49</v>
      </c>
      <c r="C47" s="29">
        <v>0.26052083333333337</v>
      </c>
      <c r="D47" s="29">
        <f>C47-'Leg 3'!C51</f>
        <v>5.6203703703703728E-2</v>
      </c>
      <c r="E47" s="1">
        <f>VLOOKUP(B47,Registration!$B$3:$C$77,2,FALSE)</f>
        <v>9</v>
      </c>
      <c r="F47" s="1">
        <v>4</v>
      </c>
      <c r="G47" s="16">
        <f t="shared" si="0"/>
        <v>5.9161793372319712E-3</v>
      </c>
    </row>
    <row r="48" spans="1:7" x14ac:dyDescent="0.35">
      <c r="A48" s="1">
        <v>45</v>
      </c>
      <c r="B48" s="1">
        <v>37</v>
      </c>
      <c r="C48" s="29">
        <v>0.26118055555555558</v>
      </c>
      <c r="D48" s="29">
        <f>C48-'Leg 3'!C48</f>
        <v>6.185185185185188E-2</v>
      </c>
      <c r="E48" s="1">
        <f>VLOOKUP(B48,Registration!$B$3:$C$77,2,FALSE)</f>
        <v>8</v>
      </c>
      <c r="F48" s="1">
        <v>10</v>
      </c>
      <c r="G48" s="16">
        <f t="shared" si="0"/>
        <v>6.5107212475633558E-3</v>
      </c>
    </row>
    <row r="49" spans="1:7" x14ac:dyDescent="0.35">
      <c r="A49" s="1">
        <v>46</v>
      </c>
      <c r="B49" s="1">
        <v>55</v>
      </c>
      <c r="C49" s="29">
        <v>0.26133101851851853</v>
      </c>
      <c r="D49" s="29">
        <f>C49-'Leg 3'!C28</f>
        <v>8.2777777777777783E-2</v>
      </c>
      <c r="E49" s="1">
        <f>VLOOKUP(B49,Registration!$B$3:$C$77,2,FALSE)</f>
        <v>9</v>
      </c>
      <c r="F49" s="1">
        <v>5</v>
      </c>
      <c r="G49" s="16">
        <f t="shared" si="0"/>
        <v>8.713450292397661E-3</v>
      </c>
    </row>
    <row r="50" spans="1:7" x14ac:dyDescent="0.35">
      <c r="A50" s="1">
        <v>47</v>
      </c>
      <c r="B50" s="1">
        <v>14</v>
      </c>
      <c r="C50" s="29">
        <v>0.26243055555555556</v>
      </c>
      <c r="D50" s="29">
        <f>C50-'Leg 3'!C50</f>
        <v>5.8356481481481481E-2</v>
      </c>
      <c r="E50" s="1">
        <f>VLOOKUP(B50,Registration!$B$3:$C$77,2,FALSE)</f>
        <v>5</v>
      </c>
      <c r="F50" s="1">
        <v>1</v>
      </c>
      <c r="G50" s="16">
        <f t="shared" si="0"/>
        <v>6.1427875243664715E-3</v>
      </c>
    </row>
    <row r="51" spans="1:7" x14ac:dyDescent="0.35">
      <c r="A51" s="1">
        <v>48</v>
      </c>
      <c r="B51" s="1">
        <v>64</v>
      </c>
      <c r="C51" s="29">
        <v>0.26320601851851849</v>
      </c>
      <c r="D51" s="29">
        <f>C51-'Leg 3'!C43</f>
        <v>6.8530092592592545E-2</v>
      </c>
      <c r="E51" s="1">
        <f>VLOOKUP(B51,Registration!$B$3:$C$77,2,FALSE)</f>
        <v>10</v>
      </c>
      <c r="F51" s="1">
        <v>7</v>
      </c>
      <c r="G51" s="16">
        <f t="shared" si="0"/>
        <v>7.2136939571150046E-3</v>
      </c>
    </row>
    <row r="52" spans="1:7" x14ac:dyDescent="0.35">
      <c r="A52" s="1">
        <v>49</v>
      </c>
      <c r="B52" s="1">
        <v>60</v>
      </c>
      <c r="C52" s="29">
        <v>0.27028935185185182</v>
      </c>
      <c r="D52" s="29">
        <f>C52-'Leg 3'!C46</f>
        <v>7.3287037037037012E-2</v>
      </c>
      <c r="E52" s="1">
        <f>VLOOKUP(B52,Registration!$B$3:$C$77,2,FALSE)</f>
        <v>10</v>
      </c>
      <c r="F52" s="1">
        <v>8</v>
      </c>
      <c r="G52" s="16">
        <f t="shared" si="0"/>
        <v>7.714424951267054E-3</v>
      </c>
    </row>
    <row r="53" spans="1:7" x14ac:dyDescent="0.35">
      <c r="A53" s="1">
        <v>50</v>
      </c>
      <c r="B53" s="1">
        <v>50</v>
      </c>
      <c r="C53" s="29">
        <v>0.2706365740740741</v>
      </c>
      <c r="D53" s="29">
        <f>C53-'Leg 3'!C53</f>
        <v>6.0266203703703752E-2</v>
      </c>
      <c r="E53" s="1">
        <f>VLOOKUP(B53,Registration!$B$3:$C$77,2,FALSE)</f>
        <v>9</v>
      </c>
      <c r="F53" s="1">
        <v>5</v>
      </c>
      <c r="G53" s="16">
        <f t="shared" si="0"/>
        <v>6.3438109161793425E-3</v>
      </c>
    </row>
    <row r="54" spans="1:7" x14ac:dyDescent="0.35">
      <c r="A54" s="1">
        <v>51</v>
      </c>
      <c r="B54" s="1">
        <v>38</v>
      </c>
      <c r="C54" s="29">
        <v>0.2761805555555556</v>
      </c>
      <c r="D54" s="29">
        <f>C54-'Leg 3'!C59</f>
        <v>5.4548611111111145E-2</v>
      </c>
      <c r="E54" s="1">
        <f>VLOOKUP(B54,Registration!$B$3:$C$77,2,FALSE)</f>
        <v>8</v>
      </c>
      <c r="F54" s="1">
        <v>11</v>
      </c>
      <c r="G54" s="16">
        <f t="shared" si="0"/>
        <v>5.7419590643274891E-3</v>
      </c>
    </row>
    <row r="55" spans="1:7" x14ac:dyDescent="0.35">
      <c r="A55" s="1">
        <v>52</v>
      </c>
      <c r="B55" s="1">
        <v>3</v>
      </c>
      <c r="C55" s="29">
        <v>0.28070601851851851</v>
      </c>
      <c r="D55" s="29">
        <f>C55-'Leg 3'!C54</f>
        <v>6.9467592592592581E-2</v>
      </c>
      <c r="E55" s="1">
        <f>VLOOKUP(B55,Registration!$B$3:$C$77,2,FALSE)</f>
        <v>1</v>
      </c>
      <c r="F55" s="1">
        <v>8</v>
      </c>
      <c r="G55" s="16">
        <f t="shared" si="0"/>
        <v>7.312378167641324E-3</v>
      </c>
    </row>
    <row r="56" spans="1:7" x14ac:dyDescent="0.35">
      <c r="A56" s="1">
        <v>53</v>
      </c>
      <c r="B56" s="1">
        <v>28</v>
      </c>
      <c r="C56" s="29">
        <v>0.28055555555555556</v>
      </c>
      <c r="D56" s="29">
        <f>C56-'Leg 3'!C58</f>
        <v>6.1712962962962942E-2</v>
      </c>
      <c r="E56" s="1">
        <f>VLOOKUP(B56,Registration!$B$3:$C$77,2,FALSE)</f>
        <v>7</v>
      </c>
      <c r="F56" s="1">
        <v>4</v>
      </c>
      <c r="G56" s="16">
        <f t="shared" si="0"/>
        <v>6.4961013645224146E-3</v>
      </c>
    </row>
    <row r="57" spans="1:7" x14ac:dyDescent="0.35">
      <c r="A57" s="1">
        <v>54</v>
      </c>
      <c r="B57" s="1">
        <v>69</v>
      </c>
      <c r="C57" s="29">
        <v>0.28795138888888888</v>
      </c>
      <c r="D57" s="29">
        <f>C57-'Leg 3'!C55</f>
        <v>7.5949074074074058E-2</v>
      </c>
      <c r="E57" s="1">
        <f>VLOOKUP(B57,Registration!$B$3:$C$77,2,FALSE)</f>
        <v>10</v>
      </c>
      <c r="F57" s="1">
        <v>9</v>
      </c>
      <c r="G57" s="16">
        <f t="shared" si="0"/>
        <v>7.9946393762183217E-3</v>
      </c>
    </row>
    <row r="58" spans="1:7" x14ac:dyDescent="0.35">
      <c r="A58" s="1">
        <v>55</v>
      </c>
      <c r="B58" s="1">
        <v>12</v>
      </c>
      <c r="C58" s="29">
        <v>0.29068287037037038</v>
      </c>
      <c r="D58" s="29">
        <f>C58-'Leg 3'!C56</f>
        <v>7.6469907407407417E-2</v>
      </c>
      <c r="E58" s="1">
        <f>VLOOKUP(B58,Registration!$B$3:$C$77,2,FALSE)</f>
        <v>1</v>
      </c>
      <c r="F58" s="1">
        <v>9</v>
      </c>
      <c r="G58" s="16">
        <f t="shared" si="0"/>
        <v>8.0494639376218341E-3</v>
      </c>
    </row>
    <row r="59" spans="1:7" x14ac:dyDescent="0.35">
      <c r="A59" s="1">
        <v>56</v>
      </c>
      <c r="B59" s="1">
        <v>54</v>
      </c>
      <c r="C59" s="29">
        <v>0.29263888888888889</v>
      </c>
      <c r="D59" s="29">
        <f>C59-'Leg 3'!C60</f>
        <v>7.0648148148148154E-2</v>
      </c>
      <c r="E59" s="1">
        <f>VLOOKUP(B59,Registration!$B$3:$C$77,2,FALSE)</f>
        <v>9</v>
      </c>
      <c r="F59" s="1">
        <v>6</v>
      </c>
      <c r="G59" s="16">
        <f t="shared" si="0"/>
        <v>7.4366471734892796E-3</v>
      </c>
    </row>
    <row r="60" spans="1:7" x14ac:dyDescent="0.35">
      <c r="A60" s="1">
        <v>57</v>
      </c>
      <c r="B60" s="1">
        <v>40</v>
      </c>
      <c r="C60" s="29">
        <v>0.29268518518518521</v>
      </c>
      <c r="D60" s="29">
        <f>C60-'Leg 3'!C62</f>
        <v>6.532407407407409E-2</v>
      </c>
      <c r="E60" s="1">
        <f>VLOOKUP(B60,Registration!$B$3:$C$77,2,FALSE)</f>
        <v>8</v>
      </c>
      <c r="F60" s="1">
        <v>12</v>
      </c>
      <c r="G60" s="16">
        <f t="shared" si="0"/>
        <v>6.8762183235867467E-3</v>
      </c>
    </row>
    <row r="61" spans="1:7" x14ac:dyDescent="0.35">
      <c r="A61" s="1">
        <v>58</v>
      </c>
      <c r="B61" s="1">
        <v>36</v>
      </c>
      <c r="C61" s="29">
        <v>0.29675925925925922</v>
      </c>
      <c r="D61" s="29">
        <f>C61-'Leg 3'!C67</f>
        <v>6.0162037037036986E-2</v>
      </c>
      <c r="E61" s="1">
        <f>VLOOKUP(B61,Registration!$B$3:$C$77,2,FALSE)</f>
        <v>8</v>
      </c>
      <c r="F61" s="1">
        <v>13</v>
      </c>
      <c r="G61" s="16">
        <f t="shared" si="0"/>
        <v>6.3328460038986302E-3</v>
      </c>
    </row>
    <row r="62" spans="1:7" x14ac:dyDescent="0.35">
      <c r="A62" s="1">
        <v>59</v>
      </c>
      <c r="B62" s="1">
        <v>27</v>
      </c>
      <c r="C62" s="29">
        <v>0.29684027777777777</v>
      </c>
      <c r="D62" s="29">
        <f>C62-'Leg 3'!C57</f>
        <v>7.9861111111111133E-2</v>
      </c>
      <c r="E62" s="1">
        <f>VLOOKUP(B62,Registration!$B$3:$C$77,2,FALSE)</f>
        <v>7</v>
      </c>
      <c r="F62" s="1">
        <v>5</v>
      </c>
      <c r="G62" s="16">
        <f t="shared" si="0"/>
        <v>8.4064327485380147E-3</v>
      </c>
    </row>
    <row r="63" spans="1:7" x14ac:dyDescent="0.35">
      <c r="A63" s="1">
        <v>60</v>
      </c>
      <c r="B63" s="1">
        <v>51</v>
      </c>
      <c r="C63" s="29">
        <v>0.30075231481481485</v>
      </c>
      <c r="D63" s="29">
        <f>C63-'Leg 3'!C61</f>
        <v>7.5578703703703731E-2</v>
      </c>
      <c r="E63" s="1">
        <f>VLOOKUP(B63,Registration!$B$3:$C$77,2,FALSE)</f>
        <v>9</v>
      </c>
      <c r="F63" s="1">
        <v>7</v>
      </c>
      <c r="G63" s="16">
        <f t="shared" si="0"/>
        <v>7.9556530214424988E-3</v>
      </c>
    </row>
    <row r="64" spans="1:7" x14ac:dyDescent="0.35">
      <c r="A64" s="1">
        <v>61</v>
      </c>
      <c r="B64" s="1">
        <v>23</v>
      </c>
      <c r="C64" s="29">
        <v>0.30516203703703704</v>
      </c>
      <c r="D64" s="29">
        <f>C64-'Leg 3'!C65</f>
        <v>7.002314814814814E-2</v>
      </c>
      <c r="E64" s="1">
        <f>VLOOKUP(B64,Registration!$B$3:$C$77,2,FALSE)</f>
        <v>7</v>
      </c>
      <c r="F64" s="1">
        <v>6</v>
      </c>
      <c r="G64" s="16">
        <f t="shared" si="0"/>
        <v>7.3708576998050669E-3</v>
      </c>
    </row>
    <row r="65" spans="1:7" x14ac:dyDescent="0.35">
      <c r="A65" s="1">
        <v>62</v>
      </c>
      <c r="B65" s="1">
        <v>13</v>
      </c>
      <c r="C65" s="29">
        <v>0.31140046296296298</v>
      </c>
      <c r="D65" s="29">
        <f>C65-'Leg 3'!C68</f>
        <v>7.1203703703703741E-2</v>
      </c>
      <c r="E65" s="1">
        <f>VLOOKUP(B65,Registration!$B$3:$C$77,2,FALSE)</f>
        <v>4</v>
      </c>
      <c r="F65" s="1">
        <v>1</v>
      </c>
      <c r="G65" s="16">
        <f t="shared" si="0"/>
        <v>7.4951267056530251E-3</v>
      </c>
    </row>
    <row r="66" spans="1:7" x14ac:dyDescent="0.35">
      <c r="A66" s="1">
        <v>63</v>
      </c>
      <c r="B66" s="1">
        <v>26</v>
      </c>
      <c r="C66" s="29">
        <v>0.32429398148148147</v>
      </c>
      <c r="D66" s="29">
        <f>C66-'Leg 3'!C64</f>
        <v>9.1365740740740747E-2</v>
      </c>
      <c r="E66" s="1">
        <f>VLOOKUP(B66,Registration!$B$3:$C$77,2,FALSE)</f>
        <v>7</v>
      </c>
      <c r="F66" s="1">
        <v>6</v>
      </c>
      <c r="G66" s="16">
        <f t="shared" si="0"/>
        <v>9.6174463937621843E-3</v>
      </c>
    </row>
    <row r="67" spans="1:7" x14ac:dyDescent="0.35">
      <c r="A67" s="1">
        <v>64</v>
      </c>
      <c r="B67" s="1">
        <v>66</v>
      </c>
      <c r="C67" s="29">
        <v>0.35241898148148149</v>
      </c>
      <c r="E67" s="1">
        <f>VLOOKUP(B67,Registration!$B$3:$C$77,2,FALSE)</f>
        <v>11</v>
      </c>
      <c r="F67" s="1">
        <v>1</v>
      </c>
      <c r="G67" s="16">
        <f t="shared" si="0"/>
        <v>0</v>
      </c>
    </row>
    <row r="68" spans="1:7" x14ac:dyDescent="0.35">
      <c r="A68" s="1">
        <v>65</v>
      </c>
      <c r="B68" s="1">
        <v>67</v>
      </c>
      <c r="C68" s="29">
        <v>0.35688657407407409</v>
      </c>
      <c r="D68" s="29">
        <f>C68-'Leg 3'!C63</f>
        <v>0.12802083333333336</v>
      </c>
      <c r="E68" s="1">
        <f>VLOOKUP(B68,Registration!$B$3:$C$77,2,FALSE)</f>
        <v>12</v>
      </c>
      <c r="F68" s="1">
        <v>1</v>
      </c>
      <c r="G68" s="16">
        <f t="shared" si="0"/>
        <v>1.3475877192982459E-2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opLeftCell="A31" workbookViewId="0">
      <selection activeCell="C59" sqref="C59"/>
    </sheetView>
  </sheetViews>
  <sheetFormatPr defaultColWidth="8.81640625" defaultRowHeight="14.5" x14ac:dyDescent="0.35"/>
  <cols>
    <col min="1" max="1" width="6.36328125" style="1" customWidth="1"/>
    <col min="2" max="2" width="5.36328125" style="1" customWidth="1"/>
    <col min="3" max="3" width="10.6328125" style="29" customWidth="1"/>
    <col min="4" max="4" width="9.453125" style="29" customWidth="1"/>
    <col min="5" max="5" width="7" style="1" customWidth="1"/>
    <col min="7" max="7" width="10.36328125" customWidth="1"/>
  </cols>
  <sheetData>
    <row r="1" spans="1:7" ht="18.5" x14ac:dyDescent="0.45">
      <c r="A1" s="17" t="s">
        <v>14</v>
      </c>
      <c r="B1" s="21" t="s">
        <v>3</v>
      </c>
      <c r="C1" s="28"/>
      <c r="D1" s="28"/>
      <c r="E1" s="21"/>
      <c r="F1" s="5"/>
    </row>
    <row r="2" spans="1:7" ht="18.5" x14ac:dyDescent="0.45">
      <c r="B2" s="21"/>
      <c r="C2" s="28"/>
      <c r="D2" s="28"/>
      <c r="E2" s="21"/>
      <c r="F2" s="5"/>
      <c r="G2" s="37" t="s">
        <v>92</v>
      </c>
    </row>
    <row r="3" spans="1:7" ht="15.5" x14ac:dyDescent="0.35">
      <c r="A3" s="13" t="s">
        <v>17</v>
      </c>
      <c r="B3" s="6" t="s">
        <v>6</v>
      </c>
      <c r="C3" s="22" t="s">
        <v>16</v>
      </c>
      <c r="D3" s="22" t="s">
        <v>2</v>
      </c>
      <c r="E3" s="6" t="s">
        <v>0</v>
      </c>
      <c r="F3" s="9" t="s">
        <v>1</v>
      </c>
      <c r="G3" s="23" t="s">
        <v>89</v>
      </c>
    </row>
    <row r="4" spans="1:7" x14ac:dyDescent="0.35">
      <c r="A4" s="1">
        <v>1</v>
      </c>
      <c r="B4" s="1">
        <v>68</v>
      </c>
      <c r="C4" s="29">
        <v>0.19872685185185182</v>
      </c>
      <c r="D4" s="29">
        <f>C4-'Leg 4'!C4</f>
        <v>3.5127314814814792E-2</v>
      </c>
      <c r="E4" s="1">
        <f>VLOOKUP(B4,Registration!$B$3:$C$77,2,FALSE)</f>
        <v>1</v>
      </c>
      <c r="F4" s="1">
        <v>1</v>
      </c>
      <c r="G4" s="16">
        <f>D4/10.7</f>
        <v>3.2829266182069902E-3</v>
      </c>
    </row>
    <row r="5" spans="1:7" x14ac:dyDescent="0.35">
      <c r="A5" s="1">
        <v>2</v>
      </c>
      <c r="B5" s="1">
        <v>1</v>
      </c>
      <c r="C5" s="29">
        <v>0.20804398148148148</v>
      </c>
      <c r="D5" s="29">
        <f>C5-'Leg 4'!C5</f>
        <v>4.086805555555556E-2</v>
      </c>
      <c r="E5" s="1">
        <f>VLOOKUP(B5,Registration!$B$3:$C$77,2,FALSE)</f>
        <v>1</v>
      </c>
      <c r="F5" s="1">
        <v>2</v>
      </c>
      <c r="G5" s="16">
        <f t="shared" ref="G5:G67" si="0">D5/10.7</f>
        <v>3.8194444444444452E-3</v>
      </c>
    </row>
    <row r="6" spans="1:7" x14ac:dyDescent="0.35">
      <c r="A6" s="1">
        <v>3</v>
      </c>
      <c r="B6" s="1">
        <v>7</v>
      </c>
      <c r="C6" s="29">
        <v>0.22209490740740742</v>
      </c>
      <c r="D6" s="29">
        <f>C6-'Leg 4'!C7</f>
        <v>4.4942129629629624E-2</v>
      </c>
      <c r="E6" s="1">
        <f>VLOOKUP(B6,Registration!$B$3:$C$77,2,FALSE)</f>
        <v>1</v>
      </c>
      <c r="F6" s="1">
        <v>3</v>
      </c>
      <c r="G6" s="16">
        <f t="shared" si="0"/>
        <v>4.2001990308065075E-3</v>
      </c>
    </row>
    <row r="7" spans="1:7" x14ac:dyDescent="0.35">
      <c r="A7" s="1">
        <v>4</v>
      </c>
      <c r="B7" s="1">
        <v>9</v>
      </c>
      <c r="C7" s="29">
        <v>0.22339120370370369</v>
      </c>
      <c r="D7" s="29">
        <f>C7-'Leg 4'!C6</f>
        <v>4.7893518518518502E-2</v>
      </c>
      <c r="E7" s="1">
        <f>VLOOKUP(B7,Registration!$B$3:$C$77,2,FALSE)</f>
        <v>2</v>
      </c>
      <c r="F7" s="1">
        <v>1</v>
      </c>
      <c r="G7" s="16">
        <f t="shared" si="0"/>
        <v>4.4760297680858417E-3</v>
      </c>
    </row>
    <row r="8" spans="1:7" x14ac:dyDescent="0.35">
      <c r="A8" s="1">
        <v>5</v>
      </c>
      <c r="B8" s="1">
        <v>5</v>
      </c>
      <c r="C8" s="29">
        <v>0.22622685185185185</v>
      </c>
      <c r="D8" s="29">
        <f>C8-'Leg 4'!C8</f>
        <v>4.6562500000000007E-2</v>
      </c>
      <c r="E8" s="1">
        <f>VLOOKUP(B8,Registration!$B$3:$C$77,2,FALSE)</f>
        <v>1</v>
      </c>
      <c r="F8" s="1">
        <v>4</v>
      </c>
      <c r="G8" s="16">
        <f t="shared" si="0"/>
        <v>4.3516355140186926E-3</v>
      </c>
    </row>
    <row r="9" spans="1:7" x14ac:dyDescent="0.35">
      <c r="A9" s="1">
        <v>6</v>
      </c>
      <c r="B9" s="1">
        <v>2</v>
      </c>
      <c r="C9" s="29">
        <v>0.23096064814814818</v>
      </c>
      <c r="D9" s="29">
        <f>C9-'Leg 4'!C9</f>
        <v>4.8275462962963006E-2</v>
      </c>
      <c r="E9" s="1">
        <f>VLOOKUP(B9,Registration!$B$3:$C$77,2,FALSE)</f>
        <v>1</v>
      </c>
      <c r="F9" s="1">
        <v>5</v>
      </c>
      <c r="G9" s="16">
        <f t="shared" si="0"/>
        <v>4.5117255105572903E-3</v>
      </c>
    </row>
    <row r="10" spans="1:7" x14ac:dyDescent="0.35">
      <c r="A10" s="1">
        <v>7</v>
      </c>
      <c r="B10" s="1">
        <v>47</v>
      </c>
      <c r="C10" s="29">
        <v>0.24315972222222224</v>
      </c>
      <c r="D10" s="29">
        <f>C10-'Leg 4'!C11</f>
        <v>4.9039351851851876E-2</v>
      </c>
      <c r="E10" s="1">
        <f>VLOOKUP(B10,Registration!$B$3:$C$77,2,FALSE)</f>
        <v>8</v>
      </c>
      <c r="F10" s="1">
        <v>1</v>
      </c>
      <c r="G10" s="16">
        <f t="shared" si="0"/>
        <v>4.5831169955001753E-3</v>
      </c>
    </row>
    <row r="11" spans="1:7" x14ac:dyDescent="0.35">
      <c r="A11" s="1">
        <v>8</v>
      </c>
      <c r="B11" s="1">
        <v>18</v>
      </c>
      <c r="C11" s="29">
        <v>0.24607638888888891</v>
      </c>
      <c r="D11" s="29">
        <f>C11-'Leg 4'!C10</f>
        <v>5.5277777777777815E-2</v>
      </c>
      <c r="E11" s="1">
        <f>VLOOKUP(B11,Registration!$B$3:$C$77,2,FALSE)</f>
        <v>6</v>
      </c>
      <c r="F11" s="1">
        <v>1</v>
      </c>
      <c r="G11" s="16">
        <f t="shared" si="0"/>
        <v>5.1661474558670857E-3</v>
      </c>
    </row>
    <row r="12" spans="1:7" x14ac:dyDescent="0.35">
      <c r="A12" s="1">
        <v>9</v>
      </c>
      <c r="B12" s="1">
        <v>43</v>
      </c>
      <c r="C12" s="29">
        <v>0.25123842592592593</v>
      </c>
      <c r="D12" s="29">
        <f>C12-'Leg 4'!C12</f>
        <v>5.1412037037037034E-2</v>
      </c>
      <c r="E12" s="1">
        <f>VLOOKUP(B12,Registration!$B$3:$C$77,2,FALSE)</f>
        <v>8</v>
      </c>
      <c r="F12" s="1">
        <v>2</v>
      </c>
      <c r="G12" s="16">
        <f t="shared" si="0"/>
        <v>4.8048632744894428E-3</v>
      </c>
    </row>
    <row r="13" spans="1:7" x14ac:dyDescent="0.35">
      <c r="A13" s="1">
        <v>10</v>
      </c>
      <c r="B13" s="1">
        <v>6</v>
      </c>
      <c r="C13" s="29">
        <v>0.25428240740740743</v>
      </c>
      <c r="D13" s="29">
        <f>C13-'Leg 4'!C15</f>
        <v>4.7256944444444476E-2</v>
      </c>
      <c r="E13" s="1">
        <f>VLOOKUP(B13,Registration!$B$3:$C$77,2,FALSE)</f>
        <v>1</v>
      </c>
      <c r="F13" s="1">
        <v>6</v>
      </c>
      <c r="G13" s="16">
        <f t="shared" si="0"/>
        <v>4.4165368639667735E-3</v>
      </c>
    </row>
    <row r="14" spans="1:7" x14ac:dyDescent="0.35">
      <c r="A14" s="1">
        <v>11</v>
      </c>
      <c r="B14" s="1">
        <v>59</v>
      </c>
      <c r="C14" s="29">
        <v>0.25967592592592592</v>
      </c>
      <c r="D14" s="29">
        <f>C14-'Leg 4'!C14</f>
        <v>5.5810185185185185E-2</v>
      </c>
      <c r="E14" s="1">
        <f>VLOOKUP(B14,Registration!$B$3:$C$77,2,FALSE)</f>
        <v>10</v>
      </c>
      <c r="F14" s="1">
        <v>1</v>
      </c>
      <c r="G14" s="16">
        <f t="shared" si="0"/>
        <v>5.2159051574939431E-3</v>
      </c>
    </row>
    <row r="15" spans="1:7" x14ac:dyDescent="0.35">
      <c r="A15" s="1">
        <v>12</v>
      </c>
      <c r="B15" s="1">
        <v>58</v>
      </c>
      <c r="C15" s="29">
        <v>0.26193287037037039</v>
      </c>
      <c r="D15" s="29">
        <f>C15-'Leg 4'!C19</f>
        <v>4.958333333333334E-2</v>
      </c>
      <c r="E15" s="1">
        <f>VLOOKUP(B15,Registration!$B$3:$C$77,2,FALSE)</f>
        <v>10</v>
      </c>
      <c r="F15" s="1">
        <v>2</v>
      </c>
      <c r="G15" s="16">
        <f t="shared" si="0"/>
        <v>4.6339563862928361E-3</v>
      </c>
    </row>
    <row r="16" spans="1:7" x14ac:dyDescent="0.35">
      <c r="A16" s="1">
        <v>13</v>
      </c>
      <c r="B16" s="1">
        <v>17</v>
      </c>
      <c r="C16" s="29">
        <v>0.26199074074074075</v>
      </c>
      <c r="D16" s="29">
        <f>C16-'Leg 4'!C16</f>
        <v>5.4733796296296294E-2</v>
      </c>
      <c r="E16" s="1">
        <f>VLOOKUP(B16,Registration!$B$3:$C$77,2,FALSE)</f>
        <v>6</v>
      </c>
      <c r="F16" s="1">
        <v>2</v>
      </c>
      <c r="G16" s="16">
        <f t="shared" si="0"/>
        <v>5.1153080650744205E-3</v>
      </c>
    </row>
    <row r="17" spans="1:7" x14ac:dyDescent="0.35">
      <c r="A17" s="1">
        <v>14</v>
      </c>
      <c r="B17" s="1">
        <v>45</v>
      </c>
      <c r="C17" s="29">
        <v>0.26276620370370368</v>
      </c>
      <c r="D17" s="29">
        <f>C17-'Leg 4'!C13</f>
        <v>6.209490740740739E-2</v>
      </c>
      <c r="E17" s="1">
        <f>VLOOKUP(B17,Registration!$B$3:$C$77,2,FALSE)</f>
        <v>8</v>
      </c>
      <c r="F17" s="1">
        <v>3</v>
      </c>
      <c r="G17" s="16">
        <f t="shared" si="0"/>
        <v>5.8032623745240559E-3</v>
      </c>
    </row>
    <row r="18" spans="1:7" x14ac:dyDescent="0.35">
      <c r="A18" s="1">
        <v>15</v>
      </c>
      <c r="B18" s="1">
        <v>63</v>
      </c>
      <c r="C18" s="29">
        <v>0.26409722222222221</v>
      </c>
      <c r="D18" s="29">
        <f>C18-'Leg 4'!C17</f>
        <v>5.6064814814814817E-2</v>
      </c>
      <c r="E18" s="1">
        <f>VLOOKUP(B18,Registration!$B$3:$C$77,2,FALSE)</f>
        <v>10</v>
      </c>
      <c r="F18" s="1">
        <v>3</v>
      </c>
      <c r="G18" s="16">
        <f t="shared" si="0"/>
        <v>5.2397023191415723E-3</v>
      </c>
    </row>
    <row r="19" spans="1:7" x14ac:dyDescent="0.35">
      <c r="A19" s="1">
        <v>16</v>
      </c>
      <c r="B19" s="1">
        <v>53</v>
      </c>
      <c r="C19" s="29">
        <v>0.26886574074074071</v>
      </c>
      <c r="D19" s="29">
        <f>C19-'Leg 4'!C21</f>
        <v>5.370370370370367E-2</v>
      </c>
      <c r="E19" s="1">
        <f>VLOOKUP(B19,Registration!$B$3:$C$77,2,FALSE)</f>
        <v>9</v>
      </c>
      <c r="F19" s="1">
        <v>1</v>
      </c>
      <c r="G19" s="16">
        <f t="shared" si="0"/>
        <v>5.0190377293181003E-3</v>
      </c>
    </row>
    <row r="20" spans="1:7" x14ac:dyDescent="0.35">
      <c r="A20" s="1">
        <v>17</v>
      </c>
      <c r="B20" s="1">
        <v>34</v>
      </c>
      <c r="C20" s="29">
        <v>0.27008101851851851</v>
      </c>
      <c r="D20" s="29">
        <f>C20-'Leg 4'!C20</f>
        <v>5.681712962962962E-2</v>
      </c>
      <c r="E20" s="1">
        <f>VLOOKUP(B20,Registration!$B$3:$C$77,2,FALSE)</f>
        <v>8</v>
      </c>
      <c r="F20" s="1">
        <v>3</v>
      </c>
      <c r="G20" s="16">
        <f t="shared" si="0"/>
        <v>5.3100121149186564E-3</v>
      </c>
    </row>
    <row r="21" spans="1:7" x14ac:dyDescent="0.35">
      <c r="A21" s="1">
        <v>18</v>
      </c>
      <c r="B21" s="1">
        <v>4</v>
      </c>
      <c r="C21" s="29">
        <v>0.27167824074074071</v>
      </c>
      <c r="D21" s="29">
        <f>C21-'Leg 4'!C18</f>
        <v>5.9351851851851822E-2</v>
      </c>
      <c r="E21" s="1">
        <f>VLOOKUP(B21,Registration!$B$3:$C$77,2,FALSE)</f>
        <v>1</v>
      </c>
      <c r="F21" s="1">
        <v>7</v>
      </c>
      <c r="G21" s="16">
        <f t="shared" si="0"/>
        <v>5.5469020422291423E-3</v>
      </c>
    </row>
    <row r="22" spans="1:7" x14ac:dyDescent="0.35">
      <c r="A22" s="1">
        <v>19</v>
      </c>
      <c r="B22" s="1">
        <v>15</v>
      </c>
      <c r="C22" s="29">
        <v>0.27376157407407409</v>
      </c>
      <c r="D22" s="29">
        <f>C22-'Leg 4'!C24</f>
        <v>5.3599537037037043E-2</v>
      </c>
      <c r="E22" s="1">
        <f>VLOOKUP(B22,Registration!$B$3:$C$77,2,FALSE)</f>
        <v>6</v>
      </c>
      <c r="F22" s="1">
        <v>3</v>
      </c>
      <c r="G22" s="16">
        <f t="shared" si="0"/>
        <v>5.0093025268258921E-3</v>
      </c>
    </row>
    <row r="23" spans="1:7" x14ac:dyDescent="0.35">
      <c r="A23" s="1">
        <v>20</v>
      </c>
      <c r="B23" s="1">
        <v>62</v>
      </c>
      <c r="C23" s="29">
        <v>0.2760185185185185</v>
      </c>
      <c r="D23" s="29">
        <f>C23-'Leg 4'!C22</f>
        <v>5.7164351851851813E-2</v>
      </c>
      <c r="E23" s="1">
        <f>VLOOKUP(B23,Registration!$B$3:$C$77,2,FALSE)</f>
        <v>10</v>
      </c>
      <c r="F23" s="1">
        <v>4</v>
      </c>
      <c r="G23" s="16">
        <f t="shared" si="0"/>
        <v>5.342462789892693E-3</v>
      </c>
    </row>
    <row r="24" spans="1:7" x14ac:dyDescent="0.35">
      <c r="A24" s="1">
        <v>21</v>
      </c>
      <c r="B24" s="1">
        <v>65</v>
      </c>
      <c r="C24" s="29">
        <v>0.27649305555555553</v>
      </c>
      <c r="D24" s="29">
        <f>C24-'Leg 4'!C23</f>
        <v>5.667824074074071E-2</v>
      </c>
      <c r="E24" s="1">
        <f>VLOOKUP(B24,Registration!$B$3:$C$77,2,FALSE)</f>
        <v>10</v>
      </c>
      <c r="F24" s="1">
        <v>5</v>
      </c>
      <c r="G24" s="16">
        <f t="shared" si="0"/>
        <v>5.2970318449290388E-3</v>
      </c>
    </row>
    <row r="25" spans="1:7" x14ac:dyDescent="0.35">
      <c r="A25" s="1">
        <v>22</v>
      </c>
      <c r="B25" s="1">
        <v>44</v>
      </c>
      <c r="C25" s="29">
        <v>0.28109953703703705</v>
      </c>
      <c r="D25" s="29">
        <f>C25-'Leg 4'!C27</f>
        <v>4.9537037037037046E-2</v>
      </c>
      <c r="E25" s="1">
        <f>VLOOKUP(B25,Registration!$B$3:$C$77,2,FALSE)</f>
        <v>8</v>
      </c>
      <c r="F25" s="1">
        <v>4</v>
      </c>
      <c r="G25" s="16">
        <f t="shared" si="0"/>
        <v>4.6296296296296311E-3</v>
      </c>
    </row>
    <row r="26" spans="1:7" x14ac:dyDescent="0.35">
      <c r="A26" s="1">
        <v>23</v>
      </c>
      <c r="B26" s="1">
        <v>56</v>
      </c>
      <c r="C26" s="29">
        <v>0.28391203703703705</v>
      </c>
      <c r="D26" s="29">
        <f>C26-'Leg 4'!C26</f>
        <v>5.5231481481481493E-2</v>
      </c>
      <c r="E26" s="1">
        <f>VLOOKUP(B26,Registration!$B$3:$C$77,2,FALSE)</f>
        <v>9</v>
      </c>
      <c r="F26" s="1">
        <v>2</v>
      </c>
      <c r="G26" s="16">
        <f t="shared" si="0"/>
        <v>5.1618206992038781E-3</v>
      </c>
    </row>
    <row r="27" spans="1:7" x14ac:dyDescent="0.35">
      <c r="A27" s="1">
        <v>24</v>
      </c>
      <c r="B27" s="1">
        <v>46</v>
      </c>
      <c r="C27" s="29">
        <v>0.2878472222222222</v>
      </c>
      <c r="D27" s="29">
        <f>C27-'Leg 4'!C25</f>
        <v>5.9699074074074071E-2</v>
      </c>
      <c r="E27" s="1">
        <f>VLOOKUP(B27,Registration!$B$3:$C$77,2,FALSE)</f>
        <v>8</v>
      </c>
      <c r="F27" s="1">
        <v>5</v>
      </c>
      <c r="G27" s="16">
        <f t="shared" si="0"/>
        <v>5.579352717203185E-3</v>
      </c>
    </row>
    <row r="28" spans="1:7" x14ac:dyDescent="0.35">
      <c r="A28" s="1">
        <v>25</v>
      </c>
      <c r="B28" s="1">
        <v>30</v>
      </c>
      <c r="C28" s="29">
        <v>0.29269675925925925</v>
      </c>
      <c r="D28" s="29">
        <f>C28-'Leg 4'!C28</f>
        <v>5.7442129629629635E-2</v>
      </c>
      <c r="E28" s="1">
        <f>VLOOKUP(B28,Registration!$B$3:$C$77,2,FALSE)</f>
        <v>8</v>
      </c>
      <c r="F28" s="1">
        <v>6</v>
      </c>
      <c r="G28" s="16">
        <f t="shared" si="0"/>
        <v>5.368423329871929E-3</v>
      </c>
    </row>
    <row r="29" spans="1:7" x14ac:dyDescent="0.35">
      <c r="A29" s="1">
        <v>26</v>
      </c>
      <c r="B29" s="1">
        <v>41</v>
      </c>
      <c r="C29" s="29">
        <v>0.29476851851851854</v>
      </c>
      <c r="D29" s="29">
        <f>C29-'Leg 4'!C40</f>
        <v>4.9722222222222251E-2</v>
      </c>
      <c r="E29" s="1">
        <f>VLOOKUP(B29,Registration!$B$3:$C$77,2,FALSE)</f>
        <v>8</v>
      </c>
      <c r="F29" s="1">
        <v>7</v>
      </c>
      <c r="G29" s="16">
        <f t="shared" si="0"/>
        <v>4.6469366562824537E-3</v>
      </c>
    </row>
    <row r="30" spans="1:7" x14ac:dyDescent="0.35">
      <c r="A30" s="1">
        <v>27</v>
      </c>
      <c r="B30" s="1">
        <v>19</v>
      </c>
      <c r="C30" s="29">
        <v>0.29510416666666667</v>
      </c>
      <c r="D30" s="29">
        <f>C30-'Leg 4'!C30</f>
        <v>5.8344907407407415E-2</v>
      </c>
      <c r="E30" s="1">
        <f>VLOOKUP(B30,Registration!$B$3:$C$77,2,FALSE)</f>
        <v>6</v>
      </c>
      <c r="F30" s="1">
        <v>4</v>
      </c>
      <c r="G30" s="16">
        <f t="shared" si="0"/>
        <v>5.4527950848044316E-3</v>
      </c>
    </row>
    <row r="31" spans="1:7" x14ac:dyDescent="0.35">
      <c r="A31" s="1">
        <v>28</v>
      </c>
      <c r="B31" s="1">
        <v>29</v>
      </c>
      <c r="C31" s="29">
        <v>0.29528935185185184</v>
      </c>
      <c r="D31" s="29">
        <f>C31-'Leg 4'!C34</f>
        <v>5.4768518518518522E-2</v>
      </c>
      <c r="E31" s="1">
        <f>VLOOKUP(B31,Registration!$B$3:$C$77,2,FALSE)</f>
        <v>8</v>
      </c>
      <c r="F31" s="1">
        <v>8</v>
      </c>
      <c r="G31" s="16">
        <f t="shared" si="0"/>
        <v>5.1185531325718247E-3</v>
      </c>
    </row>
    <row r="32" spans="1:7" x14ac:dyDescent="0.35">
      <c r="A32" s="1">
        <v>29</v>
      </c>
      <c r="B32" s="1">
        <v>32</v>
      </c>
      <c r="C32" s="29">
        <v>0.29549768518518521</v>
      </c>
      <c r="D32" s="29">
        <f>C32-'Leg 4'!C37</f>
        <v>5.2627314814814835E-2</v>
      </c>
      <c r="E32" s="1">
        <f>VLOOKUP(B32,Registration!$B$3:$C$77,2,FALSE)</f>
        <v>8</v>
      </c>
      <c r="F32" s="1">
        <v>9</v>
      </c>
      <c r="G32" s="16">
        <f t="shared" si="0"/>
        <v>4.918440636898583E-3</v>
      </c>
    </row>
    <row r="33" spans="1:7" x14ac:dyDescent="0.35">
      <c r="A33" s="1">
        <v>30</v>
      </c>
      <c r="B33" s="1">
        <v>57</v>
      </c>
      <c r="C33" s="29">
        <v>0.29550925925925925</v>
      </c>
      <c r="D33" s="29">
        <f>C33-'Leg 4'!C31</f>
        <v>5.7291666666666657E-2</v>
      </c>
      <c r="E33" s="1">
        <f>VLOOKUP(B33,Registration!$B$3:$C$77,2,FALSE)</f>
        <v>9</v>
      </c>
      <c r="F33" s="1">
        <v>3</v>
      </c>
      <c r="G33" s="16">
        <f t="shared" si="0"/>
        <v>5.3543613707165106E-3</v>
      </c>
    </row>
    <row r="34" spans="1:7" x14ac:dyDescent="0.35">
      <c r="A34" s="1">
        <v>31</v>
      </c>
      <c r="B34" s="1">
        <v>22</v>
      </c>
      <c r="C34" s="29">
        <v>0.29886574074074074</v>
      </c>
      <c r="D34" s="29">
        <f>C34-'Leg 4'!C33</f>
        <v>5.8541666666666659E-2</v>
      </c>
      <c r="E34" s="1">
        <f>VLOOKUP(B34,Registration!$B$3:$C$77,2,FALSE)</f>
        <v>7</v>
      </c>
      <c r="F34" s="1">
        <v>1</v>
      </c>
      <c r="G34" s="16">
        <f t="shared" si="0"/>
        <v>5.4711838006230524E-3</v>
      </c>
    </row>
    <row r="35" spans="1:7" x14ac:dyDescent="0.35">
      <c r="A35" s="1">
        <v>32</v>
      </c>
      <c r="B35" s="1">
        <v>31</v>
      </c>
      <c r="C35" s="29">
        <v>0.29980324074074077</v>
      </c>
      <c r="D35" s="29">
        <f>C35-'Leg 4'!C32</f>
        <v>5.9907407407407437E-2</v>
      </c>
      <c r="E35" s="1">
        <f>VLOOKUP(B35,Registration!$B$3:$C$77,2,FALSE)</f>
        <v>8</v>
      </c>
      <c r="F35" s="1">
        <v>10</v>
      </c>
      <c r="G35" s="16">
        <f t="shared" si="0"/>
        <v>5.5988231221876109E-3</v>
      </c>
    </row>
    <row r="36" spans="1:7" x14ac:dyDescent="0.35">
      <c r="A36" s="1">
        <v>33</v>
      </c>
      <c r="B36" s="1">
        <v>61</v>
      </c>
      <c r="C36" s="29">
        <v>0.30108796296296297</v>
      </c>
      <c r="D36" s="29">
        <f>C36-'Leg 4'!C29</f>
        <v>6.561342592592595E-2</v>
      </c>
      <c r="E36" s="1">
        <f>VLOOKUP(B36,Registration!$B$3:$C$77,2,FALSE)</f>
        <v>10</v>
      </c>
      <c r="F36" s="1">
        <v>6</v>
      </c>
      <c r="G36" s="16">
        <f t="shared" si="0"/>
        <v>6.1320958809276595E-3</v>
      </c>
    </row>
    <row r="37" spans="1:7" x14ac:dyDescent="0.35">
      <c r="A37" s="1">
        <v>34</v>
      </c>
      <c r="B37" s="1">
        <v>16</v>
      </c>
      <c r="C37" s="29">
        <v>0.30358796296296298</v>
      </c>
      <c r="D37" s="29">
        <f>C37-'Leg 4'!C39</f>
        <v>5.8587962962962981E-2</v>
      </c>
      <c r="E37" s="1">
        <f>VLOOKUP(B37,Registration!$B$3:$C$77,2,FALSE)</f>
        <v>6</v>
      </c>
      <c r="F37" s="1">
        <v>5</v>
      </c>
      <c r="G37" s="16">
        <f t="shared" si="0"/>
        <v>5.4755105572862599E-3</v>
      </c>
    </row>
    <row r="38" spans="1:7" x14ac:dyDescent="0.35">
      <c r="A38" s="1">
        <v>35</v>
      </c>
      <c r="B38" s="1">
        <v>20</v>
      </c>
      <c r="C38" s="29">
        <v>0.30387731481481478</v>
      </c>
      <c r="D38" s="29">
        <f>C38-'Leg 4'!C36</f>
        <v>6.1319444444444426E-2</v>
      </c>
      <c r="E38" s="1">
        <f>VLOOKUP(B38,Registration!$B$3:$C$77,2,FALSE)</f>
        <v>6</v>
      </c>
      <c r="F38" s="1">
        <v>6</v>
      </c>
      <c r="G38" s="16">
        <f t="shared" si="0"/>
        <v>5.7307892004153675E-3</v>
      </c>
    </row>
    <row r="39" spans="1:7" x14ac:dyDescent="0.35">
      <c r="A39" s="1">
        <v>36</v>
      </c>
      <c r="B39" s="1">
        <v>11</v>
      </c>
      <c r="C39" s="29">
        <v>0.30395833333333333</v>
      </c>
      <c r="D39" s="29">
        <f>C39-'Leg 4'!C35</f>
        <v>6.1874999999999986E-2</v>
      </c>
      <c r="E39" s="1">
        <f>VLOOKUP(B39,Registration!$B$3:$C$77,2,FALSE)</f>
        <v>3</v>
      </c>
      <c r="F39" s="1">
        <v>1</v>
      </c>
      <c r="G39" s="16">
        <f t="shared" si="0"/>
        <v>5.7827102803738309E-3</v>
      </c>
    </row>
    <row r="40" spans="1:7" x14ac:dyDescent="0.35">
      <c r="A40" s="1">
        <v>37</v>
      </c>
      <c r="B40" s="1">
        <v>25</v>
      </c>
      <c r="C40" s="29">
        <v>0.30989583333333331</v>
      </c>
      <c r="D40" s="29">
        <f>C40-'Leg 4'!C41</f>
        <v>6.3506944444444435E-2</v>
      </c>
      <c r="E40" s="1">
        <f>VLOOKUP(B40,Registration!$B$3:$C$77,2,FALSE)</f>
        <v>7</v>
      </c>
      <c r="F40" s="1">
        <v>2</v>
      </c>
      <c r="G40" s="16">
        <f t="shared" si="0"/>
        <v>5.9352284527518168E-3</v>
      </c>
    </row>
    <row r="41" spans="1:7" x14ac:dyDescent="0.35">
      <c r="A41" s="1">
        <v>38</v>
      </c>
      <c r="B41" s="1">
        <v>10</v>
      </c>
      <c r="C41" s="29">
        <v>0.31284722222222222</v>
      </c>
      <c r="D41" s="29">
        <f>C41-'Leg 4'!C38</f>
        <v>6.9918981481481485E-2</v>
      </c>
      <c r="E41" s="1">
        <f>VLOOKUP(B41,Registration!$B$3:$C$77,2,FALSE)</f>
        <v>3</v>
      </c>
      <c r="F41" s="1">
        <v>2</v>
      </c>
      <c r="G41" s="16">
        <f t="shared" si="0"/>
        <v>6.5344842506057463E-3</v>
      </c>
    </row>
    <row r="42" spans="1:7" x14ac:dyDescent="0.35">
      <c r="A42" s="1">
        <v>39</v>
      </c>
      <c r="B42" s="1">
        <v>21</v>
      </c>
      <c r="C42" s="29">
        <v>0.3177314814814815</v>
      </c>
      <c r="D42" s="29">
        <f>C42-'Leg 4'!C46</f>
        <v>5.8391203703703709E-2</v>
      </c>
      <c r="E42" s="1">
        <f>VLOOKUP(B42,Registration!$B$3:$C$77,2,FALSE)</f>
        <v>7</v>
      </c>
      <c r="F42" s="1">
        <v>3</v>
      </c>
      <c r="G42" s="16">
        <f t="shared" si="0"/>
        <v>5.4571218414676366E-3</v>
      </c>
    </row>
    <row r="43" spans="1:7" x14ac:dyDescent="0.35">
      <c r="A43" s="1">
        <v>40</v>
      </c>
      <c r="B43" s="1">
        <v>49</v>
      </c>
      <c r="C43" s="29">
        <v>0.31815972222222222</v>
      </c>
      <c r="D43" s="29">
        <f>C43-'Leg 4'!C47</f>
        <v>5.7638888888888851E-2</v>
      </c>
      <c r="E43" s="1">
        <f>VLOOKUP(B43,Registration!$B$3:$C$77,2,FALSE)</f>
        <v>9</v>
      </c>
      <c r="F43" s="1">
        <v>4</v>
      </c>
      <c r="G43" s="16">
        <f t="shared" si="0"/>
        <v>5.3868120456905472E-3</v>
      </c>
    </row>
    <row r="44" spans="1:7" x14ac:dyDescent="0.35">
      <c r="A44" s="1">
        <v>41</v>
      </c>
      <c r="B44" s="1">
        <v>33</v>
      </c>
      <c r="C44" s="29">
        <v>0.32016203703703705</v>
      </c>
      <c r="D44" s="29">
        <f>C44-'Leg 4'!C45</f>
        <v>6.1018518518518527E-2</v>
      </c>
      <c r="E44" s="1">
        <f>VLOOKUP(B44,Registration!$B$3:$C$77,2,FALSE)</f>
        <v>8</v>
      </c>
      <c r="F44" s="1">
        <v>11</v>
      </c>
      <c r="G44" s="16">
        <f t="shared" si="0"/>
        <v>5.7026652821045359E-3</v>
      </c>
    </row>
    <row r="45" spans="1:7" x14ac:dyDescent="0.35">
      <c r="A45" s="1">
        <v>42</v>
      </c>
      <c r="B45" s="1">
        <v>39</v>
      </c>
      <c r="C45" s="29">
        <v>0.3203125</v>
      </c>
      <c r="D45" s="29">
        <f>C45-'Leg 4'!C42</f>
        <v>6.5636574074074083E-2</v>
      </c>
      <c r="E45" s="1">
        <f>VLOOKUP(B45,Registration!$B$3:$C$77,2,FALSE)</f>
        <v>8</v>
      </c>
      <c r="F45" s="1">
        <v>12</v>
      </c>
      <c r="G45" s="16">
        <f t="shared" si="0"/>
        <v>6.1342592592592603E-3</v>
      </c>
    </row>
    <row r="46" spans="1:7" x14ac:dyDescent="0.35">
      <c r="A46" s="1">
        <v>43</v>
      </c>
      <c r="B46" s="1">
        <v>24</v>
      </c>
      <c r="C46" s="29">
        <v>0.32673611111111112</v>
      </c>
      <c r="D46" s="29">
        <f>C46-'Leg 4'!C44</f>
        <v>6.8599537037037028E-2</v>
      </c>
      <c r="E46" s="1">
        <f>VLOOKUP(B46,Registration!$B$3:$C$77,2,FALSE)</f>
        <v>7</v>
      </c>
      <c r="F46" s="1">
        <v>4</v>
      </c>
      <c r="G46" s="16">
        <f t="shared" si="0"/>
        <v>6.4111716857043954E-3</v>
      </c>
    </row>
    <row r="47" spans="1:7" x14ac:dyDescent="0.35">
      <c r="A47" s="1">
        <v>44</v>
      </c>
      <c r="B47" s="1">
        <v>37</v>
      </c>
      <c r="C47" s="29">
        <v>0.32723379629629629</v>
      </c>
      <c r="D47" s="29">
        <f>C47-'Leg 4'!C48</f>
        <v>6.6053240740740704E-2</v>
      </c>
      <c r="E47" s="1">
        <f>VLOOKUP(B47,Registration!$B$3:$C$77,2,FALSE)</f>
        <v>8</v>
      </c>
      <c r="F47" s="1">
        <v>13</v>
      </c>
      <c r="G47" s="16">
        <f t="shared" si="0"/>
        <v>6.1732000692281035E-3</v>
      </c>
    </row>
    <row r="48" spans="1:7" x14ac:dyDescent="0.35">
      <c r="A48" s="1">
        <v>45</v>
      </c>
      <c r="B48" s="1">
        <v>48</v>
      </c>
      <c r="C48" s="29">
        <v>0.33001157407407405</v>
      </c>
      <c r="D48" s="29">
        <f>C48-'Leg 4'!C43</f>
        <v>7.4189814814814792E-2</v>
      </c>
      <c r="E48" s="1">
        <f>VLOOKUP(B48,Registration!$B$3:$C$77,2,FALSE)</f>
        <v>9</v>
      </c>
      <c r="F48" s="1">
        <v>5</v>
      </c>
      <c r="G48" s="16">
        <f t="shared" si="0"/>
        <v>6.9336275527864298E-3</v>
      </c>
    </row>
    <row r="49" spans="1:7" x14ac:dyDescent="0.35">
      <c r="A49" s="1">
        <v>46</v>
      </c>
      <c r="B49" s="1">
        <v>50</v>
      </c>
      <c r="C49" s="29">
        <v>0.33410879629629631</v>
      </c>
      <c r="D49" s="29">
        <f>C49-'Leg 4'!C53</f>
        <v>6.3472222222222208E-2</v>
      </c>
      <c r="E49" s="1">
        <f>VLOOKUP(B49,Registration!$B$3:$C$77,2,FALSE)</f>
        <v>9</v>
      </c>
      <c r="F49" s="1">
        <v>6</v>
      </c>
      <c r="G49" s="16">
        <f t="shared" si="0"/>
        <v>5.9319833852544126E-3</v>
      </c>
    </row>
    <row r="50" spans="1:7" x14ac:dyDescent="0.35">
      <c r="A50" s="1">
        <v>47</v>
      </c>
      <c r="B50" s="1">
        <v>64</v>
      </c>
      <c r="C50" s="29">
        <v>0.33824074074074079</v>
      </c>
      <c r="D50" s="29">
        <f>C50-'Leg 4'!C51</f>
        <v>7.5034722222222294E-2</v>
      </c>
      <c r="E50" s="1">
        <f>VLOOKUP(B50,Registration!$B$3:$C$77,2,FALSE)</f>
        <v>10</v>
      </c>
      <c r="F50" s="1">
        <v>7</v>
      </c>
      <c r="G50" s="16">
        <f t="shared" si="0"/>
        <v>7.0125908618899344E-3</v>
      </c>
    </row>
    <row r="51" spans="1:7" x14ac:dyDescent="0.35">
      <c r="A51" s="1">
        <v>48</v>
      </c>
      <c r="B51" s="1">
        <v>14</v>
      </c>
      <c r="C51" s="29">
        <v>0.33906249999999999</v>
      </c>
      <c r="D51" s="29">
        <f>C51-'Leg 4'!C50</f>
        <v>7.6631944444444433E-2</v>
      </c>
      <c r="E51" s="1">
        <f>VLOOKUP(B51,Registration!$B$3:$C$77,2,FALSE)</f>
        <v>5</v>
      </c>
      <c r="F51" s="1">
        <v>1</v>
      </c>
      <c r="G51" s="16">
        <f t="shared" si="0"/>
        <v>7.1618639667705083E-3</v>
      </c>
    </row>
    <row r="52" spans="1:7" x14ac:dyDescent="0.35">
      <c r="A52" s="1">
        <v>49</v>
      </c>
      <c r="B52" s="1">
        <v>60</v>
      </c>
      <c r="C52" s="29">
        <v>0.34695601851851854</v>
      </c>
      <c r="D52" s="29">
        <f>C52-'Leg 4'!C52</f>
        <v>7.6666666666666716E-2</v>
      </c>
      <c r="E52" s="1">
        <f>VLOOKUP(B52,Registration!$B$3:$C$77,2,FALSE)</f>
        <v>10</v>
      </c>
      <c r="F52" s="1">
        <v>8</v>
      </c>
      <c r="G52" s="16">
        <f t="shared" si="0"/>
        <v>7.1651090342679177E-3</v>
      </c>
    </row>
    <row r="53" spans="1:7" x14ac:dyDescent="0.35">
      <c r="A53" s="1">
        <v>50</v>
      </c>
      <c r="B53" s="1">
        <v>3</v>
      </c>
      <c r="C53" s="29">
        <v>0.34988425925925926</v>
      </c>
      <c r="D53" s="29">
        <f>C53-'Leg 4'!C55</f>
        <v>6.9178240740740748E-2</v>
      </c>
      <c r="E53" s="1">
        <f>VLOOKUP(B53,Registration!$B$3:$C$77,2,FALSE)</f>
        <v>1</v>
      </c>
      <c r="F53" s="1">
        <v>8</v>
      </c>
      <c r="G53" s="16">
        <f t="shared" si="0"/>
        <v>6.465256143994463E-3</v>
      </c>
    </row>
    <row r="54" spans="1:7" x14ac:dyDescent="0.35">
      <c r="A54" s="1">
        <v>51</v>
      </c>
      <c r="B54" s="1">
        <v>36</v>
      </c>
      <c r="C54" s="29">
        <v>0.35097222222222224</v>
      </c>
      <c r="D54" s="29">
        <f>C54-'Leg 4'!C61</f>
        <v>5.4212962962963018E-2</v>
      </c>
      <c r="E54" s="1">
        <f>VLOOKUP(B54,Registration!$B$3:$C$77,2,FALSE)</f>
        <v>8</v>
      </c>
      <c r="F54" s="1">
        <v>14</v>
      </c>
      <c r="G54" s="16">
        <f t="shared" si="0"/>
        <v>5.0666320526133665E-3</v>
      </c>
    </row>
    <row r="55" spans="1:7" x14ac:dyDescent="0.35">
      <c r="A55" s="1">
        <v>52</v>
      </c>
      <c r="B55" s="1">
        <v>12</v>
      </c>
      <c r="C55" s="29">
        <v>0.35210648148148144</v>
      </c>
      <c r="D55" s="29">
        <f>C55-'Leg 4'!C58</f>
        <v>6.1423611111111054E-2</v>
      </c>
      <c r="E55" s="1">
        <f>VLOOKUP(B55,Registration!$B$3:$C$77,2,FALSE)</f>
        <v>1</v>
      </c>
      <c r="F55" s="1">
        <v>9</v>
      </c>
      <c r="G55" s="16">
        <f t="shared" si="0"/>
        <v>5.7405244029075757E-3</v>
      </c>
    </row>
    <row r="56" spans="1:7" x14ac:dyDescent="0.35">
      <c r="A56" s="1">
        <v>53</v>
      </c>
      <c r="B56" s="1">
        <v>54</v>
      </c>
      <c r="C56" s="29">
        <v>0.35636574074074073</v>
      </c>
      <c r="D56" s="29">
        <f>C56-'Leg 4'!C59</f>
        <v>6.372685185185184E-2</v>
      </c>
      <c r="E56" s="1">
        <f>VLOOKUP(B56,Registration!$B$3:$C$77,2,FALSE)</f>
        <v>9</v>
      </c>
      <c r="F56" s="1">
        <v>7</v>
      </c>
      <c r="G56" s="16">
        <f t="shared" si="0"/>
        <v>5.9557805469020418E-3</v>
      </c>
    </row>
    <row r="57" spans="1:7" x14ac:dyDescent="0.35">
      <c r="A57" s="1">
        <v>54</v>
      </c>
      <c r="B57" s="1">
        <v>51</v>
      </c>
      <c r="C57" s="29">
        <v>0.3574074074074074</v>
      </c>
      <c r="D57" s="29">
        <f>C57-'Leg 4'!C63</f>
        <v>5.6655092592592549E-2</v>
      </c>
      <c r="E57" s="1">
        <f>VLOOKUP(B57,Registration!$B$3:$C$77,2,FALSE)</f>
        <v>9</v>
      </c>
      <c r="F57" s="1">
        <v>8</v>
      </c>
      <c r="G57" s="16">
        <f t="shared" si="0"/>
        <v>5.2948684665974346E-3</v>
      </c>
    </row>
    <row r="58" spans="1:7" x14ac:dyDescent="0.35">
      <c r="A58" s="1">
        <v>55</v>
      </c>
      <c r="B58" s="1">
        <v>40</v>
      </c>
      <c r="C58" s="29">
        <v>0.35806712962962961</v>
      </c>
      <c r="D58" s="29">
        <f>C58-'Leg 4'!C60</f>
        <v>6.5381944444444395E-2</v>
      </c>
      <c r="E58" s="1">
        <f>VLOOKUP(B58,Registration!$B$3:$C$77,2,FALSE)</f>
        <v>8</v>
      </c>
      <c r="F58" s="1">
        <v>15</v>
      </c>
      <c r="G58" s="16">
        <f t="shared" si="0"/>
        <v>6.1104620976116259E-3</v>
      </c>
    </row>
    <row r="59" spans="1:7" x14ac:dyDescent="0.35">
      <c r="A59" s="1">
        <v>56</v>
      </c>
      <c r="B59" s="1">
        <v>28</v>
      </c>
      <c r="C59" s="29">
        <v>0.36189814814814819</v>
      </c>
      <c r="D59" s="29">
        <f>C59-'Leg 4'!C56</f>
        <v>8.1342592592592633E-2</v>
      </c>
      <c r="E59" s="1">
        <f>VLOOKUP(B59,Registration!$B$3:$C$77,2,FALSE)</f>
        <v>7</v>
      </c>
      <c r="F59" s="1">
        <v>5</v>
      </c>
      <c r="G59" s="16">
        <f t="shared" si="0"/>
        <v>7.6021114572516488E-3</v>
      </c>
    </row>
    <row r="60" spans="1:7" x14ac:dyDescent="0.35">
      <c r="A60" s="1">
        <v>57</v>
      </c>
      <c r="B60" s="1">
        <v>38</v>
      </c>
      <c r="C60" s="29">
        <v>0.36423611111111115</v>
      </c>
      <c r="D60" s="29">
        <f>C60-'Leg 4'!C54</f>
        <v>8.8055555555555554E-2</v>
      </c>
      <c r="E60" s="1">
        <f>VLOOKUP(B60,Registration!$B$3:$C$77,2,FALSE)</f>
        <v>8</v>
      </c>
      <c r="F60" s="1">
        <v>16</v>
      </c>
      <c r="G60" s="16">
        <f t="shared" si="0"/>
        <v>8.2294911734164082E-3</v>
      </c>
    </row>
    <row r="61" spans="1:7" x14ac:dyDescent="0.35">
      <c r="A61" s="1">
        <v>58</v>
      </c>
      <c r="B61" s="1">
        <v>55</v>
      </c>
      <c r="C61" s="29">
        <v>0.36890046296296292</v>
      </c>
      <c r="D61" s="29">
        <f>C61-'Leg 4'!C49</f>
        <v>0.10756944444444438</v>
      </c>
      <c r="E61" s="1">
        <f>VLOOKUP(B61,Registration!$B$3:$C$77,2,FALSE)</f>
        <v>9</v>
      </c>
      <c r="F61" s="1">
        <v>9</v>
      </c>
      <c r="G61" s="16">
        <f t="shared" si="0"/>
        <v>1.0053219106957419E-2</v>
      </c>
    </row>
    <row r="62" spans="1:7" x14ac:dyDescent="0.35">
      <c r="A62" s="1">
        <v>59</v>
      </c>
      <c r="B62" s="1">
        <v>23</v>
      </c>
      <c r="C62" s="29">
        <v>0.37107638888888889</v>
      </c>
      <c r="D62" s="29">
        <f>C62-'Leg 4'!C64</f>
        <v>6.5914351851851849E-2</v>
      </c>
      <c r="E62" s="1">
        <f>VLOOKUP(B62,Registration!$B$3:$C$77,2,FALSE)</f>
        <v>7</v>
      </c>
      <c r="F62" s="1">
        <v>6</v>
      </c>
      <c r="G62" s="16">
        <f t="shared" si="0"/>
        <v>6.1602197992384911E-3</v>
      </c>
    </row>
    <row r="63" spans="1:7" x14ac:dyDescent="0.35">
      <c r="A63" s="1">
        <v>60</v>
      </c>
      <c r="B63" s="1">
        <v>52</v>
      </c>
      <c r="C63" s="29">
        <v>0.37817129629629626</v>
      </c>
      <c r="E63" s="1">
        <f>VLOOKUP(B63,Registration!$B$3:$C$77,2,FALSE)</f>
        <v>9</v>
      </c>
      <c r="F63" s="1">
        <v>10</v>
      </c>
      <c r="G63" s="16">
        <f t="shared" si="0"/>
        <v>0</v>
      </c>
    </row>
    <row r="64" spans="1:7" x14ac:dyDescent="0.35">
      <c r="A64" s="1">
        <v>61</v>
      </c>
      <c r="B64" s="1">
        <v>69</v>
      </c>
      <c r="C64" s="29">
        <v>0.38009259259259259</v>
      </c>
      <c r="D64" s="29">
        <f>C64-'Leg 4'!C57</f>
        <v>9.2141203703703711E-2</v>
      </c>
      <c r="E64" s="1">
        <f>VLOOKUP(B64,Registration!$B$3:$C$77,2,FALSE)</f>
        <v>10</v>
      </c>
      <c r="F64" s="1">
        <v>9</v>
      </c>
      <c r="G64" s="16">
        <f t="shared" si="0"/>
        <v>8.6113274489442726E-3</v>
      </c>
    </row>
    <row r="65" spans="1:7" x14ac:dyDescent="0.35">
      <c r="A65" s="1">
        <v>62</v>
      </c>
      <c r="B65" s="1">
        <v>13</v>
      </c>
      <c r="C65" s="29">
        <v>0.38305555555555554</v>
      </c>
      <c r="D65" s="29">
        <f>C65-'Leg 4'!C65</f>
        <v>7.1655092592592562E-2</v>
      </c>
      <c r="E65" s="1">
        <f>VLOOKUP(B65,Registration!$B$3:$C$77,2,FALSE)</f>
        <v>4</v>
      </c>
      <c r="F65" s="1">
        <v>1</v>
      </c>
      <c r="G65" s="16">
        <f t="shared" si="0"/>
        <v>6.6967376254759405E-3</v>
      </c>
    </row>
    <row r="66" spans="1:7" x14ac:dyDescent="0.35">
      <c r="A66" s="1">
        <v>63</v>
      </c>
      <c r="B66" s="1">
        <v>27</v>
      </c>
      <c r="C66" s="29">
        <v>0.38328703703703698</v>
      </c>
      <c r="D66" s="29">
        <f>C66-'Leg 4'!C62</f>
        <v>8.6446759259259209E-2</v>
      </c>
      <c r="E66" s="1">
        <f>VLOOKUP(B66,Registration!$B$3:$C$77,2,FALSE)</f>
        <v>7</v>
      </c>
      <c r="F66" s="1">
        <v>7</v>
      </c>
      <c r="G66" s="16">
        <f t="shared" si="0"/>
        <v>8.0791363793700204E-3</v>
      </c>
    </row>
    <row r="67" spans="1:7" x14ac:dyDescent="0.35">
      <c r="A67" s="1">
        <v>64</v>
      </c>
      <c r="B67" s="1">
        <v>26</v>
      </c>
      <c r="C67" s="29">
        <v>0.40225694444444443</v>
      </c>
      <c r="D67" s="29">
        <f>C67-'Leg 4'!C66</f>
        <v>7.7962962962962956E-2</v>
      </c>
      <c r="E67" s="1">
        <f>VLOOKUP(B67,Registration!$B$3:$C$77,2,FALSE)</f>
        <v>7</v>
      </c>
      <c r="F67" s="1">
        <v>8</v>
      </c>
      <c r="G67" s="16">
        <f t="shared" si="0"/>
        <v>7.2862582208376601E-3</v>
      </c>
    </row>
    <row r="68" spans="1:7" x14ac:dyDescent="0.35">
      <c r="A68" s="1">
        <v>65</v>
      </c>
      <c r="G68" s="16"/>
    </row>
    <row r="69" spans="1:7" x14ac:dyDescent="0.35">
      <c r="G69" s="16"/>
    </row>
    <row r="70" spans="1:7" x14ac:dyDescent="0.35">
      <c r="G70" s="16"/>
    </row>
    <row r="71" spans="1:7" x14ac:dyDescent="0.35">
      <c r="G71" s="16"/>
    </row>
    <row r="72" spans="1:7" x14ac:dyDescent="0.35">
      <c r="G72" s="16"/>
    </row>
    <row r="73" spans="1:7" x14ac:dyDescent="0.35">
      <c r="G73" s="16"/>
    </row>
    <row r="74" spans="1:7" x14ac:dyDescent="0.35">
      <c r="G74" s="16"/>
    </row>
    <row r="75" spans="1:7" x14ac:dyDescent="0.35">
      <c r="G75" s="16"/>
    </row>
    <row r="76" spans="1:7" x14ac:dyDescent="0.35">
      <c r="G76" s="16"/>
    </row>
    <row r="77" spans="1:7" x14ac:dyDescent="0.35">
      <c r="G77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opLeftCell="A43" workbookViewId="0">
      <selection activeCell="B47" sqref="B47"/>
    </sheetView>
  </sheetViews>
  <sheetFormatPr defaultColWidth="8.81640625" defaultRowHeight="14.5" x14ac:dyDescent="0.35"/>
  <cols>
    <col min="1" max="2" width="6.1796875" style="1" customWidth="1"/>
    <col min="3" max="4" width="10.1796875" style="27" customWidth="1"/>
    <col min="5" max="5" width="6.6328125" customWidth="1"/>
  </cols>
  <sheetData>
    <row r="1" spans="1:7" ht="18.5" x14ac:dyDescent="0.45">
      <c r="A1" s="17" t="s">
        <v>9</v>
      </c>
      <c r="B1" s="21" t="s">
        <v>3</v>
      </c>
      <c r="C1" s="24"/>
      <c r="D1" s="24"/>
      <c r="E1" s="10"/>
      <c r="F1" s="5"/>
    </row>
    <row r="2" spans="1:7" ht="18.5" x14ac:dyDescent="0.45">
      <c r="B2" s="21"/>
      <c r="C2" s="24"/>
      <c r="D2" s="24"/>
      <c r="E2" s="10"/>
      <c r="F2" s="5"/>
      <c r="G2" s="37" t="s">
        <v>93</v>
      </c>
    </row>
    <row r="3" spans="1:7" ht="15.5" x14ac:dyDescent="0.35">
      <c r="A3" s="13" t="s">
        <v>17</v>
      </c>
      <c r="B3" s="6" t="s">
        <v>6</v>
      </c>
      <c r="C3" s="25" t="s">
        <v>16</v>
      </c>
      <c r="D3" s="25" t="s">
        <v>2</v>
      </c>
      <c r="E3" s="6" t="s">
        <v>0</v>
      </c>
      <c r="F3" s="9" t="s">
        <v>1</v>
      </c>
      <c r="G3" s="23" t="s">
        <v>89</v>
      </c>
    </row>
    <row r="4" spans="1:7" x14ac:dyDescent="0.35">
      <c r="A4" s="1">
        <v>1</v>
      </c>
      <c r="B4" s="1">
        <v>68</v>
      </c>
      <c r="C4" s="26">
        <v>0.24371527777777779</v>
      </c>
      <c r="D4" s="26">
        <f>C4-'Leg 5'!C4</f>
        <v>4.4988425925925973E-2</v>
      </c>
      <c r="E4" s="1">
        <f>VLOOKUP(B4,Registration!$B$3:$C$77,2,FALSE)</f>
        <v>1</v>
      </c>
      <c r="F4" s="1">
        <v>1</v>
      </c>
      <c r="G4" s="20">
        <f t="shared" ref="G4:G35" si="0">D4/8.6</f>
        <v>5.2312123169681365E-3</v>
      </c>
    </row>
    <row r="5" spans="1:7" x14ac:dyDescent="0.35">
      <c r="A5" s="1">
        <v>2</v>
      </c>
      <c r="B5" s="1">
        <v>1</v>
      </c>
      <c r="C5" s="26">
        <v>0.2439699074074074</v>
      </c>
      <c r="D5" s="26">
        <f>C5-'Leg 5'!C5</f>
        <v>3.5925925925925917E-2</v>
      </c>
      <c r="E5" s="1">
        <f>VLOOKUP(B5,Registration!$B$3:$C$77,2,FALSE)</f>
        <v>1</v>
      </c>
      <c r="F5" s="1">
        <v>2</v>
      </c>
      <c r="G5" s="20">
        <f>D5/8.6</f>
        <v>4.1774332472006882E-3</v>
      </c>
    </row>
    <row r="6" spans="1:7" x14ac:dyDescent="0.35">
      <c r="A6" s="1">
        <v>3</v>
      </c>
      <c r="B6" s="1">
        <v>7</v>
      </c>
      <c r="C6" s="26">
        <v>0.25980324074074074</v>
      </c>
      <c r="D6" s="26">
        <f>C6-'Leg 5'!C6</f>
        <v>3.7708333333333316E-2</v>
      </c>
      <c r="E6" s="1">
        <f>VLOOKUP(B6,Registration!$B$3:$C$77,2,FALSE)</f>
        <v>1</v>
      </c>
      <c r="F6" s="1">
        <v>3</v>
      </c>
      <c r="G6" s="20">
        <f t="shared" si="0"/>
        <v>4.3846899224806186E-3</v>
      </c>
    </row>
    <row r="7" spans="1:7" x14ac:dyDescent="0.35">
      <c r="A7" s="1">
        <v>4</v>
      </c>
      <c r="B7" s="1">
        <v>9</v>
      </c>
      <c r="C7" s="26">
        <v>0.26459490740740738</v>
      </c>
      <c r="D7" s="26">
        <f>C7-'Leg 5'!C7</f>
        <v>4.1203703703703687E-2</v>
      </c>
      <c r="E7" s="1">
        <f>VLOOKUP(B7,Registration!$B$3:$C$77,2,FALSE)</f>
        <v>2</v>
      </c>
      <c r="F7" s="1">
        <v>1</v>
      </c>
      <c r="G7" s="20">
        <f t="shared" si="0"/>
        <v>4.7911283376399641E-3</v>
      </c>
    </row>
    <row r="8" spans="1:7" x14ac:dyDescent="0.35">
      <c r="A8" s="1">
        <v>5</v>
      </c>
      <c r="B8" s="1">
        <v>5</v>
      </c>
      <c r="C8" s="26">
        <v>0.26476851851851851</v>
      </c>
      <c r="D8" s="26">
        <f>C8-'Leg 5'!C8</f>
        <v>3.8541666666666669E-2</v>
      </c>
      <c r="E8" s="1">
        <f>VLOOKUP(B8,Registration!$B$3:$C$77,2,FALSE)</f>
        <v>1</v>
      </c>
      <c r="F8" s="1">
        <v>4</v>
      </c>
      <c r="G8" s="20">
        <f t="shared" si="0"/>
        <v>4.4815891472868219E-3</v>
      </c>
    </row>
    <row r="9" spans="1:7" x14ac:dyDescent="0.35">
      <c r="A9" s="1">
        <v>6</v>
      </c>
      <c r="B9" s="1">
        <v>2</v>
      </c>
      <c r="C9" s="26">
        <v>0.27131944444444445</v>
      </c>
      <c r="D9" s="26">
        <f>C9-'Leg 5'!C9</f>
        <v>4.0358796296296268E-2</v>
      </c>
      <c r="E9" s="1">
        <f>VLOOKUP(B9,Registration!$B$3:$C$77,2,FALSE)</f>
        <v>1</v>
      </c>
      <c r="F9" s="1">
        <v>5</v>
      </c>
      <c r="G9" s="20">
        <f t="shared" si="0"/>
        <v>4.6928832902670085E-3</v>
      </c>
    </row>
    <row r="10" spans="1:7" x14ac:dyDescent="0.35">
      <c r="A10" s="1">
        <v>7</v>
      </c>
      <c r="B10" s="1">
        <v>18</v>
      </c>
      <c r="C10" s="26">
        <v>0.28765046296296298</v>
      </c>
      <c r="D10" s="26">
        <f>C10-'Leg 5'!C11</f>
        <v>4.1574074074074069E-2</v>
      </c>
      <c r="E10" s="1">
        <f>VLOOKUP(B10,Registration!$B$3:$C$77,2,FALSE)</f>
        <v>6</v>
      </c>
      <c r="F10" s="1">
        <v>1</v>
      </c>
      <c r="G10" s="20">
        <f t="shared" si="0"/>
        <v>4.834194659776055E-3</v>
      </c>
    </row>
    <row r="11" spans="1:7" x14ac:dyDescent="0.35">
      <c r="A11" s="1">
        <v>8</v>
      </c>
      <c r="B11" s="1">
        <v>47</v>
      </c>
      <c r="C11" s="26">
        <v>0.28840277777777779</v>
      </c>
      <c r="D11" s="26">
        <f>C11-'Leg 5'!C10</f>
        <v>4.524305555555555E-2</v>
      </c>
      <c r="E11" s="1">
        <f>VLOOKUP(B11,Registration!$B$3:$C$77,2,FALSE)</f>
        <v>8</v>
      </c>
      <c r="F11" s="1">
        <v>1</v>
      </c>
      <c r="G11" s="20">
        <f t="shared" si="0"/>
        <v>5.2608204134366923E-3</v>
      </c>
    </row>
    <row r="12" spans="1:7" x14ac:dyDescent="0.35">
      <c r="A12" s="1">
        <v>9</v>
      </c>
      <c r="B12" s="1">
        <v>43</v>
      </c>
      <c r="C12" s="26">
        <v>0.29693287037037036</v>
      </c>
      <c r="D12" s="26">
        <f>C12-'Leg 5'!C12</f>
        <v>4.5694444444444426E-2</v>
      </c>
      <c r="E12" s="1">
        <f>VLOOKUP(B12,Registration!$B$3:$C$77,2,FALSE)</f>
        <v>8</v>
      </c>
      <c r="F12" s="1">
        <v>2</v>
      </c>
      <c r="G12" s="20">
        <f t="shared" si="0"/>
        <v>5.3133074935400497E-3</v>
      </c>
    </row>
    <row r="13" spans="1:7" x14ac:dyDescent="0.35">
      <c r="A13" s="1">
        <v>10</v>
      </c>
      <c r="B13" s="1">
        <v>59</v>
      </c>
      <c r="C13" s="26">
        <v>0.30179398148148145</v>
      </c>
      <c r="D13" s="26">
        <f>C13-'Leg 5'!C14</f>
        <v>4.2118055555555534E-2</v>
      </c>
      <c r="E13" s="1">
        <f>VLOOKUP(B13,Registration!$B$3:$C$77,2,FALSE)</f>
        <v>10</v>
      </c>
      <c r="F13" s="1">
        <v>1</v>
      </c>
      <c r="G13" s="20">
        <f t="shared" si="0"/>
        <v>4.8974483204134341E-3</v>
      </c>
    </row>
    <row r="14" spans="1:7" x14ac:dyDescent="0.35">
      <c r="A14" s="1">
        <v>11</v>
      </c>
      <c r="B14" s="1">
        <v>17</v>
      </c>
      <c r="C14" s="26">
        <v>0.30670138888888887</v>
      </c>
      <c r="D14" s="26">
        <f>C14-'Leg 5'!C16</f>
        <v>4.4710648148148124E-2</v>
      </c>
      <c r="E14" s="1">
        <f>VLOOKUP(B14,Registration!$B$3:$C$77,2,FALSE)</f>
        <v>6</v>
      </c>
      <c r="F14" s="1">
        <v>2</v>
      </c>
      <c r="G14" s="20">
        <f t="shared" si="0"/>
        <v>5.1989125753660612E-3</v>
      </c>
    </row>
    <row r="15" spans="1:7" x14ac:dyDescent="0.35">
      <c r="A15" s="1">
        <v>12</v>
      </c>
      <c r="B15" s="1">
        <v>58</v>
      </c>
      <c r="C15" s="26">
        <v>0.30677083333333333</v>
      </c>
      <c r="D15" s="26">
        <f>C15-'Leg 5'!C15</f>
        <v>4.4837962962962941E-2</v>
      </c>
      <c r="E15" s="1">
        <f>VLOOKUP(B15,Registration!$B$3:$C$77,2,FALSE)</f>
        <v>10</v>
      </c>
      <c r="F15" s="1">
        <v>2</v>
      </c>
      <c r="G15" s="20">
        <f t="shared" si="0"/>
        <v>5.2137166236003426E-3</v>
      </c>
    </row>
    <row r="16" spans="1:7" x14ac:dyDescent="0.35">
      <c r="A16" s="1">
        <v>13</v>
      </c>
      <c r="B16" s="1">
        <v>63</v>
      </c>
      <c r="C16" s="26">
        <v>0.30922453703703706</v>
      </c>
      <c r="D16" s="26">
        <f>C16-'Leg 5'!C18</f>
        <v>4.5127314814814856E-2</v>
      </c>
      <c r="E16" s="1">
        <f>VLOOKUP(B16,Registration!$B$3:$C$77,2,FALSE)</f>
        <v>10</v>
      </c>
      <c r="F16" s="1">
        <v>3</v>
      </c>
      <c r="G16" s="20">
        <f t="shared" si="0"/>
        <v>5.2473621877691693E-3</v>
      </c>
    </row>
    <row r="17" spans="1:7" x14ac:dyDescent="0.35">
      <c r="A17" s="1">
        <v>14</v>
      </c>
      <c r="B17" s="1">
        <v>6</v>
      </c>
      <c r="C17" s="26">
        <v>0.30950231481481483</v>
      </c>
      <c r="D17" s="26">
        <f>C17-'Leg 5'!C13</f>
        <v>5.5219907407407398E-2</v>
      </c>
      <c r="E17" s="1">
        <f>VLOOKUP(B17,Registration!$B$3:$C$77,2,FALSE)</f>
        <v>1</v>
      </c>
      <c r="F17" s="1">
        <v>6</v>
      </c>
      <c r="G17" s="20">
        <f t="shared" si="0"/>
        <v>6.4209194659776044E-3</v>
      </c>
    </row>
    <row r="18" spans="1:7" x14ac:dyDescent="0.35">
      <c r="A18" s="1">
        <v>15</v>
      </c>
      <c r="B18" s="1">
        <v>4</v>
      </c>
      <c r="C18" s="26">
        <v>0.31020833333333336</v>
      </c>
      <c r="D18" s="26">
        <f>C18-'Leg 5'!C21</f>
        <v>3.8530092592592657E-2</v>
      </c>
      <c r="E18" s="1">
        <f>VLOOKUP(B18,Registration!$B$3:$C$77,2,FALSE)</f>
        <v>1</v>
      </c>
      <c r="F18" s="1">
        <v>7</v>
      </c>
      <c r="G18" s="20">
        <f t="shared" si="0"/>
        <v>4.4802433247200764E-3</v>
      </c>
    </row>
    <row r="19" spans="1:7" x14ac:dyDescent="0.35">
      <c r="A19" s="1">
        <v>16</v>
      </c>
      <c r="B19" s="1">
        <v>45</v>
      </c>
      <c r="C19" s="26">
        <v>0.31101851851851853</v>
      </c>
      <c r="D19" s="26">
        <f>C19-'Leg 5'!C17</f>
        <v>4.8252314814814845E-2</v>
      </c>
      <c r="E19" s="1">
        <f>VLOOKUP(B19,Registration!$B$3:$C$77,2,FALSE)</f>
        <v>8</v>
      </c>
      <c r="F19" s="1">
        <v>3</v>
      </c>
      <c r="G19" s="20">
        <f t="shared" si="0"/>
        <v>5.6107342807924241E-3</v>
      </c>
    </row>
    <row r="20" spans="1:7" x14ac:dyDescent="0.35">
      <c r="A20" s="1">
        <v>17</v>
      </c>
      <c r="B20" s="1">
        <v>53</v>
      </c>
      <c r="C20" s="26">
        <v>0.31518518518518518</v>
      </c>
      <c r="D20" s="26">
        <f>C20-'Leg 5'!C19</f>
        <v>4.6319444444444469E-2</v>
      </c>
      <c r="E20" s="1">
        <f>VLOOKUP(B20,Registration!$B$3:$C$77,2,FALSE)</f>
        <v>9</v>
      </c>
      <c r="F20" s="1">
        <v>1</v>
      </c>
      <c r="G20" s="20">
        <f t="shared" si="0"/>
        <v>5.3859819121447059E-3</v>
      </c>
    </row>
    <row r="21" spans="1:7" x14ac:dyDescent="0.35">
      <c r="A21" s="1">
        <v>18</v>
      </c>
      <c r="B21" s="1">
        <v>34</v>
      </c>
      <c r="C21" s="26">
        <v>0.3178125</v>
      </c>
      <c r="D21" s="26">
        <f>C21-'Leg 5'!C20</f>
        <v>4.7731481481481486E-2</v>
      </c>
      <c r="E21" s="1">
        <f>VLOOKUP(B21,Registration!$B$3:$C$77,2,FALSE)</f>
        <v>8</v>
      </c>
      <c r="F21" s="1">
        <v>4</v>
      </c>
      <c r="G21" s="20">
        <f t="shared" si="0"/>
        <v>5.5501722652885454E-3</v>
      </c>
    </row>
    <row r="22" spans="1:7" x14ac:dyDescent="0.35">
      <c r="A22" s="1">
        <v>19</v>
      </c>
      <c r="B22" s="1">
        <v>15</v>
      </c>
      <c r="C22" s="26">
        <v>0.31802083333333336</v>
      </c>
      <c r="D22" s="26">
        <f>C22-'Leg 5'!C22</f>
        <v>4.4259259259259276E-2</v>
      </c>
      <c r="E22" s="1">
        <f>VLOOKUP(B22,Registration!$B$3:$C$77,2,FALSE)</f>
        <v>6</v>
      </c>
      <c r="F22" s="1">
        <v>3</v>
      </c>
      <c r="G22" s="20">
        <f t="shared" si="0"/>
        <v>5.1464254952627063E-3</v>
      </c>
    </row>
    <row r="23" spans="1:7" x14ac:dyDescent="0.35">
      <c r="A23" s="1">
        <v>20</v>
      </c>
      <c r="B23" s="1">
        <v>62</v>
      </c>
      <c r="C23" s="26">
        <v>0.31829861111111107</v>
      </c>
      <c r="D23" s="26">
        <f>C23-'Leg 5'!C23</f>
        <v>4.2280092592592577E-2</v>
      </c>
      <c r="E23" s="1">
        <f>VLOOKUP(B23,Registration!$B$3:$C$77,2,FALSE)</f>
        <v>10</v>
      </c>
      <c r="F23" s="1">
        <v>4</v>
      </c>
      <c r="G23" s="20">
        <f t="shared" si="0"/>
        <v>4.9162898363479743E-3</v>
      </c>
    </row>
    <row r="24" spans="1:7" x14ac:dyDescent="0.35">
      <c r="A24" s="1">
        <v>21</v>
      </c>
      <c r="B24" s="1">
        <v>44</v>
      </c>
      <c r="C24" s="26">
        <v>0.33231481481481479</v>
      </c>
      <c r="D24" s="26">
        <f>C24-'Leg 5'!C25</f>
        <v>5.1215277777777735E-2</v>
      </c>
      <c r="E24" s="1">
        <f>VLOOKUP(B24,Registration!$B$3:$C$77,2,FALSE)</f>
        <v>8</v>
      </c>
      <c r="F24" s="1">
        <v>5</v>
      </c>
      <c r="G24" s="20">
        <f t="shared" si="0"/>
        <v>5.9552648578811325E-3</v>
      </c>
    </row>
    <row r="25" spans="1:7" x14ac:dyDescent="0.35">
      <c r="A25" s="1">
        <v>22</v>
      </c>
      <c r="B25" s="1">
        <v>65</v>
      </c>
      <c r="C25" s="26">
        <v>0.33572916666666663</v>
      </c>
      <c r="D25" s="26">
        <f>C25-'Leg 5'!C24</f>
        <v>5.9236111111111101E-2</v>
      </c>
      <c r="E25" s="1">
        <f>VLOOKUP(B25,Registration!$B$3:$C$77,2,FALSE)</f>
        <v>10</v>
      </c>
      <c r="F25" s="1">
        <v>5</v>
      </c>
      <c r="G25" s="20">
        <f t="shared" si="0"/>
        <v>6.887919896640826E-3</v>
      </c>
    </row>
    <row r="26" spans="1:7" x14ac:dyDescent="0.35">
      <c r="A26" s="1">
        <v>23</v>
      </c>
      <c r="B26" s="1">
        <v>46</v>
      </c>
      <c r="C26" s="26">
        <v>0.33862268518518518</v>
      </c>
      <c r="D26" s="26">
        <f>C26-'Leg 5'!C27</f>
        <v>5.0775462962962981E-2</v>
      </c>
      <c r="E26" s="1">
        <f>VLOOKUP(B26,Registration!$B$3:$C$77,2,FALSE)</f>
        <v>8</v>
      </c>
      <c r="F26" s="1">
        <v>6</v>
      </c>
      <c r="G26" s="20">
        <f t="shared" si="0"/>
        <v>5.9041236003445326E-3</v>
      </c>
    </row>
    <row r="27" spans="1:7" x14ac:dyDescent="0.35">
      <c r="A27" s="1">
        <v>24</v>
      </c>
      <c r="B27" s="1">
        <v>30</v>
      </c>
      <c r="C27" s="26">
        <v>0.34097222222222223</v>
      </c>
      <c r="D27" s="26">
        <f>C27-'Leg 5'!C28</f>
        <v>4.8275462962962978E-2</v>
      </c>
      <c r="E27" s="1">
        <f>VLOOKUP(B27,Registration!$B$3:$C$77,2,FALSE)</f>
        <v>8</v>
      </c>
      <c r="F27" s="1">
        <v>7</v>
      </c>
      <c r="G27" s="20">
        <f t="shared" si="0"/>
        <v>5.613425925925928E-3</v>
      </c>
    </row>
    <row r="28" spans="1:7" x14ac:dyDescent="0.35">
      <c r="A28" s="1">
        <v>25</v>
      </c>
      <c r="B28" s="1">
        <v>56</v>
      </c>
      <c r="C28" s="26">
        <v>0.34168981481481481</v>
      </c>
      <c r="D28" s="26">
        <f>C28-'Leg 5'!C26</f>
        <v>5.7777777777777761E-2</v>
      </c>
      <c r="E28" s="1">
        <f>VLOOKUP(B28,Registration!$B$3:$C$77,2,FALSE)</f>
        <v>9</v>
      </c>
      <c r="F28" s="1">
        <v>2</v>
      </c>
      <c r="G28" s="20">
        <f t="shared" si="0"/>
        <v>6.7183462532299726E-3</v>
      </c>
    </row>
    <row r="29" spans="1:7" x14ac:dyDescent="0.35">
      <c r="A29" s="1">
        <v>26</v>
      </c>
      <c r="B29" s="1">
        <v>22</v>
      </c>
      <c r="C29" s="26">
        <v>0.34379629629629632</v>
      </c>
      <c r="D29" s="26">
        <f>C29-'Leg 5'!C34</f>
        <v>4.4930555555555585E-2</v>
      </c>
      <c r="E29" s="1">
        <f>VLOOKUP(B29,Registration!$B$3:$C$77,2,FALSE)</f>
        <v>7</v>
      </c>
      <c r="F29" s="1">
        <v>1</v>
      </c>
      <c r="G29" s="20">
        <f t="shared" si="0"/>
        <v>5.2244832041343702E-3</v>
      </c>
    </row>
    <row r="30" spans="1:7" x14ac:dyDescent="0.35">
      <c r="A30" s="1">
        <v>27</v>
      </c>
      <c r="B30" s="1">
        <v>57</v>
      </c>
      <c r="C30" s="26">
        <v>0.34971064814814817</v>
      </c>
      <c r="D30" s="26">
        <f>C30-'Leg 5'!C14</f>
        <v>9.0034722222222252E-2</v>
      </c>
      <c r="E30" s="1">
        <f>VLOOKUP(B30,Registration!$B$3:$C$77,2,FALSE)</f>
        <v>9</v>
      </c>
      <c r="F30" s="1">
        <v>5</v>
      </c>
      <c r="G30" s="20">
        <f t="shared" si="0"/>
        <v>1.046915374677003E-2</v>
      </c>
    </row>
    <row r="31" spans="1:7" x14ac:dyDescent="0.35">
      <c r="A31" s="1">
        <v>28</v>
      </c>
      <c r="B31" s="1">
        <v>61</v>
      </c>
      <c r="C31" s="26">
        <v>0.35017361111111112</v>
      </c>
      <c r="D31" s="26">
        <f>C31-'Leg 5'!C36</f>
        <v>4.9085648148148142E-2</v>
      </c>
      <c r="E31" s="1">
        <f>VLOOKUP(B31,Registration!$B$3:$C$77,2,FALSE)</f>
        <v>10</v>
      </c>
      <c r="F31" s="1">
        <v>6</v>
      </c>
      <c r="G31" s="20">
        <f t="shared" si="0"/>
        <v>5.7076335055986213E-3</v>
      </c>
    </row>
    <row r="32" spans="1:7" x14ac:dyDescent="0.35">
      <c r="A32" s="1">
        <v>29</v>
      </c>
      <c r="B32" s="1">
        <v>41</v>
      </c>
      <c r="C32" s="26">
        <v>0.35101851851851856</v>
      </c>
      <c r="D32" s="26">
        <f>C32-'Leg 5'!C29</f>
        <v>5.6250000000000022E-2</v>
      </c>
      <c r="E32" s="1">
        <f>VLOOKUP(B32,Registration!$B$3:$C$77,2,FALSE)</f>
        <v>8</v>
      </c>
      <c r="F32" s="1">
        <v>8</v>
      </c>
      <c r="G32" s="20">
        <f t="shared" si="0"/>
        <v>6.5406976744186076E-3</v>
      </c>
    </row>
    <row r="33" spans="1:7" x14ac:dyDescent="0.35">
      <c r="A33" s="1">
        <v>30</v>
      </c>
      <c r="B33" s="1">
        <v>29</v>
      </c>
      <c r="C33" s="26">
        <v>0.35230324074074071</v>
      </c>
      <c r="D33" s="26">
        <f>C33-'Leg 5'!C31</f>
        <v>5.7013888888888864E-2</v>
      </c>
      <c r="E33" s="1">
        <f>VLOOKUP(B33,Registration!$B$3:$C$77,2,FALSE)</f>
        <v>8</v>
      </c>
      <c r="F33" s="1">
        <v>2</v>
      </c>
      <c r="G33" s="20">
        <f t="shared" si="0"/>
        <v>6.6295219638242871E-3</v>
      </c>
    </row>
    <row r="34" spans="1:7" x14ac:dyDescent="0.35">
      <c r="A34" s="1">
        <v>31</v>
      </c>
      <c r="B34" s="1">
        <v>20</v>
      </c>
      <c r="C34" s="26">
        <v>0.3527777777777778</v>
      </c>
      <c r="D34" s="26">
        <f>C34-'Leg 5'!C38</f>
        <v>4.8900462962963021E-2</v>
      </c>
      <c r="E34" s="1">
        <f>VLOOKUP(B34,Registration!$B$3:$C$77,2,FALSE)</f>
        <v>6</v>
      </c>
      <c r="F34" s="1">
        <v>4</v>
      </c>
      <c r="G34" s="20">
        <f t="shared" si="0"/>
        <v>5.6861003445305841E-3</v>
      </c>
    </row>
    <row r="35" spans="1:7" x14ac:dyDescent="0.35">
      <c r="A35" s="1">
        <v>32</v>
      </c>
      <c r="B35" s="1">
        <v>11</v>
      </c>
      <c r="C35" s="26">
        <v>0.35296296296296298</v>
      </c>
      <c r="D35" s="26">
        <f>C35-'Leg 5'!C39</f>
        <v>4.9004629629629648E-2</v>
      </c>
      <c r="E35" s="1">
        <f>VLOOKUP(B35,Registration!$B$3:$C$77,2,FALSE)</f>
        <v>3</v>
      </c>
      <c r="F35" s="1">
        <v>1</v>
      </c>
      <c r="G35" s="20">
        <f t="shared" si="0"/>
        <v>5.6982127476313546E-3</v>
      </c>
    </row>
    <row r="36" spans="1:7" x14ac:dyDescent="0.35">
      <c r="A36" s="1">
        <v>33</v>
      </c>
      <c r="B36" s="1">
        <v>19</v>
      </c>
      <c r="C36" s="26">
        <v>0.35442129629629626</v>
      </c>
      <c r="D36" s="26">
        <f>C36-'Leg 5'!C30</f>
        <v>5.9317129629629595E-2</v>
      </c>
      <c r="E36" s="1">
        <f>VLOOKUP(B36,Registration!$B$3:$C$77,2,FALSE)</f>
        <v>6</v>
      </c>
      <c r="F36" s="1">
        <v>5</v>
      </c>
      <c r="G36" s="20">
        <f t="shared" ref="G36:G66" si="1">D36/8.6</f>
        <v>6.8973406546080926E-3</v>
      </c>
    </row>
    <row r="37" spans="1:7" x14ac:dyDescent="0.35">
      <c r="A37" s="1">
        <v>34</v>
      </c>
      <c r="B37" s="1">
        <v>31</v>
      </c>
      <c r="C37" s="26">
        <v>0.35488425925925932</v>
      </c>
      <c r="D37" s="26">
        <f>C37-'Leg 5'!C35</f>
        <v>5.5081018518518543E-2</v>
      </c>
      <c r="E37" s="1">
        <f>VLOOKUP(B37,Registration!$B$3:$C$77,2,FALSE)</f>
        <v>8</v>
      </c>
      <c r="F37" s="1">
        <v>9</v>
      </c>
      <c r="G37" s="20">
        <f t="shared" si="1"/>
        <v>6.404769595176575E-3</v>
      </c>
    </row>
    <row r="38" spans="1:7" x14ac:dyDescent="0.35">
      <c r="A38" s="1">
        <v>35</v>
      </c>
      <c r="B38" s="1">
        <v>32</v>
      </c>
      <c r="C38" s="26">
        <v>0.35572916666666665</v>
      </c>
      <c r="D38" s="26">
        <f>C38-'Leg 5'!C32</f>
        <v>6.0231481481481441E-2</v>
      </c>
      <c r="E38" s="1">
        <f>VLOOKUP(B38,Registration!$B$3:$C$77,2,FALSE)</f>
        <v>8</v>
      </c>
      <c r="F38" s="1">
        <v>10</v>
      </c>
      <c r="G38" s="20">
        <f t="shared" si="1"/>
        <v>7.0036606373815634E-3</v>
      </c>
    </row>
    <row r="39" spans="1:7" x14ac:dyDescent="0.35">
      <c r="A39" s="1">
        <v>36</v>
      </c>
      <c r="B39" s="1">
        <v>10</v>
      </c>
      <c r="C39" s="26">
        <v>0.36052083333333335</v>
      </c>
      <c r="D39" s="26">
        <f>C39-'Leg 5'!C41</f>
        <v>4.7673611111111125E-2</v>
      </c>
      <c r="E39" s="1">
        <f>VLOOKUP(B39,Registration!$B$3:$C$77,2,FALSE)</f>
        <v>3</v>
      </c>
      <c r="F39" s="1">
        <v>2</v>
      </c>
      <c r="G39" s="20">
        <f t="shared" si="1"/>
        <v>5.5434431524547818E-3</v>
      </c>
    </row>
    <row r="40" spans="1:7" x14ac:dyDescent="0.35">
      <c r="A40" s="1">
        <v>37</v>
      </c>
      <c r="B40" s="1">
        <v>33</v>
      </c>
      <c r="C40" s="26">
        <v>0.36837962962962961</v>
      </c>
      <c r="D40" s="26">
        <f>C40-'Leg 5'!C36</f>
        <v>6.7291666666666639E-2</v>
      </c>
      <c r="E40" s="1">
        <f>VLOOKUP(B40,Registration!$B$3:$C$77,2,FALSE)</f>
        <v>8</v>
      </c>
      <c r="F40" s="1">
        <v>11</v>
      </c>
      <c r="G40" s="20">
        <f t="shared" si="1"/>
        <v>7.8246124031007714E-3</v>
      </c>
    </row>
    <row r="41" spans="1:7" x14ac:dyDescent="0.35">
      <c r="A41" s="1">
        <v>38</v>
      </c>
      <c r="B41" s="1">
        <v>21</v>
      </c>
      <c r="C41" s="26">
        <v>0.37076388888888889</v>
      </c>
      <c r="D41" s="26">
        <f>C41-'Leg 5'!C42</f>
        <v>5.3032407407407389E-2</v>
      </c>
      <c r="E41" s="1">
        <f>VLOOKUP(B41,Registration!$B$3:$C$77,2,FALSE)</f>
        <v>7</v>
      </c>
      <c r="F41" s="1">
        <v>3</v>
      </c>
      <c r="G41" s="20">
        <f t="shared" si="1"/>
        <v>6.1665590008613243E-3</v>
      </c>
    </row>
    <row r="42" spans="1:7" x14ac:dyDescent="0.35">
      <c r="A42" s="1">
        <v>39</v>
      </c>
      <c r="B42" s="1">
        <v>25</v>
      </c>
      <c r="C42" s="26">
        <v>0.37233796296296301</v>
      </c>
      <c r="D42" s="26">
        <f>C42-'Leg 5'!C40</f>
        <v>6.2442129629629695E-2</v>
      </c>
      <c r="E42" s="1">
        <f>VLOOKUP(B42,Registration!$B$3:$C$77,2,FALSE)</f>
        <v>7</v>
      </c>
      <c r="F42" s="1">
        <v>4</v>
      </c>
      <c r="G42" s="20">
        <f t="shared" si="1"/>
        <v>7.2607127476313604E-3</v>
      </c>
    </row>
    <row r="43" spans="1:7" x14ac:dyDescent="0.35">
      <c r="A43" s="1">
        <v>40</v>
      </c>
      <c r="B43" s="1">
        <v>24</v>
      </c>
      <c r="C43" s="26">
        <v>0.37444444444444441</v>
      </c>
      <c r="D43" s="26">
        <f>C43-'Leg 5'!C46</f>
        <v>4.7708333333333297E-2</v>
      </c>
      <c r="E43" s="1">
        <f>VLOOKUP(B43,Registration!$B$3:$C$77,2,FALSE)</f>
        <v>7</v>
      </c>
      <c r="F43" s="1">
        <v>5</v>
      </c>
      <c r="G43" s="20">
        <f t="shared" si="1"/>
        <v>5.5474806201550346E-3</v>
      </c>
    </row>
    <row r="44" spans="1:7" x14ac:dyDescent="0.35">
      <c r="A44" s="1">
        <v>41</v>
      </c>
      <c r="B44" s="1">
        <v>39</v>
      </c>
      <c r="C44" s="26">
        <v>0.37533564814814818</v>
      </c>
      <c r="D44" s="26">
        <f>C44-'Leg 5'!C45</f>
        <v>5.5023148148148182E-2</v>
      </c>
      <c r="E44" s="1">
        <f>VLOOKUP(B44,Registration!$B$3:$C$77,2,FALSE)</f>
        <v>8</v>
      </c>
      <c r="F44" s="1">
        <v>12</v>
      </c>
      <c r="G44" s="20">
        <f t="shared" si="1"/>
        <v>6.3980404823428122E-3</v>
      </c>
    </row>
    <row r="45" spans="1:7" x14ac:dyDescent="0.35">
      <c r="A45" s="1">
        <v>42</v>
      </c>
      <c r="B45" s="1">
        <v>49</v>
      </c>
      <c r="C45" s="26">
        <v>0.37918981481481479</v>
      </c>
      <c r="D45" s="26">
        <f>C45-'Leg 5'!C43</f>
        <v>6.1030092592592566E-2</v>
      </c>
      <c r="E45" s="1">
        <f>VLOOKUP(B45,Registration!$B$3:$C$77,2,FALSE)</f>
        <v>9</v>
      </c>
      <c r="F45" s="1">
        <v>3</v>
      </c>
      <c r="G45" s="20">
        <f t="shared" si="1"/>
        <v>7.0965223944875078E-3</v>
      </c>
    </row>
    <row r="46" spans="1:7" x14ac:dyDescent="0.35">
      <c r="A46" s="1">
        <v>43</v>
      </c>
      <c r="B46" s="1">
        <v>37</v>
      </c>
      <c r="C46" s="26">
        <v>0.38458333333333333</v>
      </c>
      <c r="D46" s="26">
        <f>C46-'Leg 5'!C47</f>
        <v>5.7349537037037046E-2</v>
      </c>
      <c r="E46" s="1">
        <f>VLOOKUP(B46,Registration!$B$3:$C$77,2,FALSE)</f>
        <v>8</v>
      </c>
      <c r="F46" s="1">
        <v>12</v>
      </c>
      <c r="G46" s="20">
        <f t="shared" si="1"/>
        <v>6.6685508182601216E-3</v>
      </c>
    </row>
    <row r="47" spans="1:7" x14ac:dyDescent="0.35">
      <c r="A47" s="1">
        <v>44</v>
      </c>
      <c r="B47" s="1">
        <v>48</v>
      </c>
      <c r="C47" s="26">
        <v>0.38820601851851855</v>
      </c>
      <c r="D47" s="26">
        <f>C47-'Leg 5'!C43</f>
        <v>7.0046296296296329E-2</v>
      </c>
      <c r="E47" s="1">
        <f>VLOOKUP(B47,Registration!$B$3:$C$77,2,FALSE)</f>
        <v>9</v>
      </c>
      <c r="F47" s="1">
        <v>4</v>
      </c>
      <c r="G47" s="20">
        <f t="shared" si="1"/>
        <v>8.1449181739879448E-3</v>
      </c>
    </row>
    <row r="48" spans="1:7" x14ac:dyDescent="0.35">
      <c r="A48" s="1">
        <v>45</v>
      </c>
      <c r="B48" s="1">
        <v>50</v>
      </c>
      <c r="C48" s="26">
        <v>0.39246527777777779</v>
      </c>
      <c r="D48" s="26">
        <f>C48-'Leg 5'!C49</f>
        <v>5.8356481481481481E-2</v>
      </c>
      <c r="E48" s="1">
        <f>VLOOKUP(B48,Registration!$B$3:$C$77,2,FALSE)</f>
        <v>9</v>
      </c>
      <c r="F48" s="1">
        <v>5</v>
      </c>
      <c r="G48" s="20">
        <f t="shared" si="1"/>
        <v>6.7856373815676141E-3</v>
      </c>
    </row>
    <row r="49" spans="1:7" x14ac:dyDescent="0.35">
      <c r="A49" s="1">
        <v>46</v>
      </c>
      <c r="B49" s="1">
        <v>16</v>
      </c>
      <c r="C49" s="26">
        <v>0.3926736111111111</v>
      </c>
      <c r="D49" s="26">
        <f>C49-'Leg 5'!C37</f>
        <v>8.9085648148148122E-2</v>
      </c>
      <c r="E49" s="1">
        <f>VLOOKUP(B49,Registration!$B$3:$C$77,2,FALSE)</f>
        <v>6</v>
      </c>
      <c r="F49" s="1">
        <v>6</v>
      </c>
      <c r="G49" s="20">
        <f t="shared" si="1"/>
        <v>1.0358796296296293E-2</v>
      </c>
    </row>
    <row r="50" spans="1:7" x14ac:dyDescent="0.35">
      <c r="A50" s="1">
        <v>47</v>
      </c>
      <c r="B50" s="1">
        <v>64</v>
      </c>
      <c r="C50" s="26">
        <v>0.39349537037037036</v>
      </c>
      <c r="D50" s="26">
        <f>C50-'Leg 5'!C50</f>
        <v>5.525462962962957E-2</v>
      </c>
      <c r="E50" s="1">
        <f>VLOOKUP(B50,Registration!$B$3:$C$77,2,FALSE)</f>
        <v>10</v>
      </c>
      <c r="F50" s="1">
        <v>7</v>
      </c>
      <c r="G50" s="20">
        <f t="shared" si="1"/>
        <v>6.4249569336778571E-3</v>
      </c>
    </row>
    <row r="51" spans="1:7" x14ac:dyDescent="0.35">
      <c r="A51" s="1">
        <v>48</v>
      </c>
      <c r="B51" s="1">
        <v>14</v>
      </c>
      <c r="C51" s="26">
        <v>0.3982175925925926</v>
      </c>
      <c r="D51" s="26">
        <f>C51-'Leg 5'!C51</f>
        <v>5.9155092592592606E-2</v>
      </c>
      <c r="E51" s="1">
        <f>VLOOKUP(B51,Registration!$B$3:$C$77,2,FALSE)</f>
        <v>5</v>
      </c>
      <c r="F51" s="1">
        <v>1</v>
      </c>
      <c r="G51" s="20">
        <f t="shared" si="1"/>
        <v>6.8784991386735593E-3</v>
      </c>
    </row>
    <row r="52" spans="1:7" x14ac:dyDescent="0.35">
      <c r="A52" s="1">
        <v>49</v>
      </c>
      <c r="B52" s="1">
        <v>12</v>
      </c>
      <c r="C52" s="26">
        <v>0.40284722222222219</v>
      </c>
      <c r="D52" s="26">
        <f>C52-'Leg 5'!C55</f>
        <v>5.0740740740740753E-2</v>
      </c>
      <c r="E52" s="1">
        <f>VLOOKUP(B52,Registration!$B$3:$C$77,2,FALSE)</f>
        <v>1</v>
      </c>
      <c r="F52" s="1">
        <v>8</v>
      </c>
      <c r="G52" s="20">
        <f t="shared" si="1"/>
        <v>5.9000861326442737E-3</v>
      </c>
    </row>
    <row r="53" spans="1:7" x14ac:dyDescent="0.35">
      <c r="A53" s="1">
        <v>50</v>
      </c>
      <c r="B53" s="1">
        <v>40</v>
      </c>
      <c r="C53" s="26">
        <v>0.40731481481481485</v>
      </c>
      <c r="D53" s="26">
        <f>C53-'Leg 5'!C58</f>
        <v>4.9247685185185242E-2</v>
      </c>
      <c r="E53" s="1">
        <f>VLOOKUP(B53,Registration!$B$3:$C$77,2,FALSE)</f>
        <v>8</v>
      </c>
      <c r="F53" s="1">
        <v>13</v>
      </c>
      <c r="G53" s="20">
        <f t="shared" si="1"/>
        <v>5.7264750215331676E-3</v>
      </c>
    </row>
    <row r="54" spans="1:7" x14ac:dyDescent="0.35">
      <c r="A54" s="1">
        <v>51</v>
      </c>
      <c r="B54" s="1">
        <v>3</v>
      </c>
      <c r="C54" s="26">
        <v>0.40884259259259265</v>
      </c>
      <c r="D54" s="26">
        <f>C54-'Leg 5'!C53</f>
        <v>5.895833333333339E-2</v>
      </c>
      <c r="E54" s="1">
        <f>VLOOKUP(B54,Registration!$B$3:$C$77,2,FALSE)</f>
        <v>1</v>
      </c>
      <c r="F54" s="1">
        <v>9</v>
      </c>
      <c r="G54" s="20">
        <f t="shared" si="1"/>
        <v>6.8556201550387663E-3</v>
      </c>
    </row>
    <row r="55" spans="1:7" x14ac:dyDescent="0.35">
      <c r="A55" s="1">
        <v>52</v>
      </c>
      <c r="B55" s="1">
        <v>51</v>
      </c>
      <c r="C55" s="26">
        <v>0.40938657407407408</v>
      </c>
      <c r="D55" s="26">
        <f>C55-'Leg 5'!C57</f>
        <v>5.1979166666666687E-2</v>
      </c>
      <c r="E55" s="1">
        <f>VLOOKUP(B55,Registration!$B$3:$C$77,2,FALSE)</f>
        <v>9</v>
      </c>
      <c r="F55" s="1">
        <v>6</v>
      </c>
      <c r="G55" s="20">
        <f t="shared" si="1"/>
        <v>6.0440891472868241E-3</v>
      </c>
    </row>
    <row r="56" spans="1:7" x14ac:dyDescent="0.35">
      <c r="A56" s="1">
        <v>53</v>
      </c>
      <c r="B56" s="1">
        <v>36</v>
      </c>
      <c r="C56" s="26">
        <v>0.41576388888888888</v>
      </c>
      <c r="D56" s="26">
        <f>C56-'Leg 5'!C54</f>
        <v>6.4791666666666636E-2</v>
      </c>
      <c r="E56" s="1">
        <f>VLOOKUP(B56,Registration!$B$3:$C$77,2,FALSE)</f>
        <v>8</v>
      </c>
      <c r="F56" s="1">
        <v>14</v>
      </c>
      <c r="G56" s="20">
        <f t="shared" si="1"/>
        <v>7.5339147286821676E-3</v>
      </c>
    </row>
    <row r="57" spans="1:7" x14ac:dyDescent="0.35">
      <c r="A57" s="1">
        <v>54</v>
      </c>
      <c r="B57" s="1">
        <v>60</v>
      </c>
      <c r="C57" s="26">
        <v>0.41597222222222219</v>
      </c>
      <c r="D57" s="26">
        <f>C57-'Leg 5'!C52</f>
        <v>6.9016203703703649E-2</v>
      </c>
      <c r="E57" s="1">
        <f>VLOOKUP(B57,Registration!$B$3:$C$77,2,FALSE)</f>
        <v>10</v>
      </c>
      <c r="F57" s="1">
        <v>8</v>
      </c>
      <c r="G57" s="20">
        <f t="shared" si="1"/>
        <v>8.0251399655469364E-3</v>
      </c>
    </row>
    <row r="58" spans="1:7" x14ac:dyDescent="0.35">
      <c r="A58" s="1">
        <v>55</v>
      </c>
      <c r="B58" s="1">
        <v>54</v>
      </c>
      <c r="C58" s="26">
        <v>0.417025462962963</v>
      </c>
      <c r="D58" s="26">
        <f>C58-'Leg 5'!C56</f>
        <v>6.0659722222222268E-2</v>
      </c>
      <c r="E58" s="1">
        <f>VLOOKUP(B58,Registration!$B$3:$C$77,2,FALSE)</f>
        <v>9</v>
      </c>
      <c r="F58" s="1">
        <v>7</v>
      </c>
      <c r="G58" s="20">
        <f t="shared" si="1"/>
        <v>7.0534560723514265E-3</v>
      </c>
    </row>
    <row r="59" spans="1:7" x14ac:dyDescent="0.35">
      <c r="A59" s="1">
        <v>56</v>
      </c>
      <c r="B59" s="1">
        <v>28</v>
      </c>
      <c r="C59" s="26">
        <v>0.43078703703703702</v>
      </c>
      <c r="D59" s="26">
        <f>C59-'Leg 5'!C59</f>
        <v>6.8888888888888833E-2</v>
      </c>
      <c r="E59" s="1">
        <f>VLOOKUP(B59,Registration!$B$3:$C$77,2,FALSE)</f>
        <v>7</v>
      </c>
      <c r="F59" s="1">
        <v>6</v>
      </c>
      <c r="G59" s="20">
        <f t="shared" si="1"/>
        <v>8.010335917312655E-3</v>
      </c>
    </row>
    <row r="60" spans="1:7" x14ac:dyDescent="0.35">
      <c r="A60" s="1">
        <v>57</v>
      </c>
      <c r="B60" s="1">
        <v>13</v>
      </c>
      <c r="C60" s="26">
        <v>0.43483796296296301</v>
      </c>
      <c r="D60" s="26">
        <f>C60-'Leg 5'!C65</f>
        <v>5.1782407407407471E-2</v>
      </c>
      <c r="E60" s="1">
        <f>VLOOKUP(B60,Registration!$B$3:$C$77,2,FALSE)</f>
        <v>4</v>
      </c>
      <c r="F60" s="1">
        <v>1</v>
      </c>
      <c r="G60" s="20">
        <f t="shared" si="1"/>
        <v>6.021210163652032E-3</v>
      </c>
    </row>
    <row r="61" spans="1:7" x14ac:dyDescent="0.35">
      <c r="A61" s="1">
        <v>58</v>
      </c>
      <c r="B61" s="1">
        <v>27</v>
      </c>
      <c r="C61" s="26">
        <v>0.44311342592592595</v>
      </c>
      <c r="D61" s="26">
        <f>C61-'Leg 5'!C66</f>
        <v>5.9826388888888971E-2</v>
      </c>
      <c r="E61" s="1">
        <f>VLOOKUP(B61,Registration!$B$3:$C$77,2,FALSE)</f>
        <v>7</v>
      </c>
      <c r="F61" s="1">
        <v>7</v>
      </c>
      <c r="G61" s="20">
        <f t="shared" si="1"/>
        <v>6.9565568475452293E-3</v>
      </c>
    </row>
    <row r="62" spans="1:7" x14ac:dyDescent="0.35">
      <c r="A62" s="1">
        <v>59</v>
      </c>
      <c r="B62" s="1">
        <v>38</v>
      </c>
      <c r="C62" s="26">
        <v>0.4433449074074074</v>
      </c>
      <c r="D62" s="26">
        <f>C62-'Leg 5'!C60</f>
        <v>7.9108796296296247E-2</v>
      </c>
      <c r="E62" s="1">
        <f>VLOOKUP(B62,Registration!$B$3:$C$77,2,FALSE)</f>
        <v>8</v>
      </c>
      <c r="F62" s="1">
        <v>15</v>
      </c>
      <c r="G62" s="20">
        <f t="shared" si="1"/>
        <v>9.1986972437553775E-3</v>
      </c>
    </row>
    <row r="63" spans="1:7" x14ac:dyDescent="0.35">
      <c r="A63" s="1">
        <v>60</v>
      </c>
      <c r="B63" s="1">
        <v>52</v>
      </c>
      <c r="C63" s="26">
        <v>0.44711805555555556</v>
      </c>
      <c r="D63" s="26">
        <f>C63-'Leg 5'!C63</f>
        <v>6.8946759259259305E-2</v>
      </c>
      <c r="E63" s="1">
        <f>VLOOKUP(B63,Registration!$B$3:$C$77,2,FALSE)</f>
        <v>9</v>
      </c>
      <c r="F63" s="1">
        <v>8</v>
      </c>
      <c r="G63" s="20">
        <f t="shared" si="1"/>
        <v>8.0170650301464308E-3</v>
      </c>
    </row>
    <row r="64" spans="1:7" x14ac:dyDescent="0.35">
      <c r="A64" s="1">
        <v>61</v>
      </c>
      <c r="B64" s="1">
        <v>55</v>
      </c>
      <c r="C64" s="26">
        <v>0.44802083333333331</v>
      </c>
      <c r="D64" s="26">
        <f>C64-'Leg 5'!C61</f>
        <v>7.9120370370370396E-2</v>
      </c>
      <c r="E64" s="1">
        <f>VLOOKUP(B64,Registration!$B$3:$C$77,2,FALSE)</f>
        <v>9</v>
      </c>
      <c r="F64" s="1">
        <v>9</v>
      </c>
      <c r="G64" s="20">
        <f t="shared" si="1"/>
        <v>9.2000430663221403E-3</v>
      </c>
    </row>
    <row r="65" spans="1:7" x14ac:dyDescent="0.35">
      <c r="A65" s="1">
        <v>62</v>
      </c>
      <c r="B65" s="1">
        <v>69</v>
      </c>
      <c r="C65" s="26">
        <v>0.45114583333333336</v>
      </c>
      <c r="D65" s="26">
        <f>C65-'Leg 5'!C64</f>
        <v>7.1053240740740764E-2</v>
      </c>
      <c r="E65" s="1">
        <f>VLOOKUP(B65,Registration!$B$3:$C$77,2,FALSE)</f>
        <v>10</v>
      </c>
      <c r="F65" s="1">
        <v>9</v>
      </c>
      <c r="G65" s="20">
        <f t="shared" si="1"/>
        <v>8.2620047372954381E-3</v>
      </c>
    </row>
    <row r="66" spans="1:7" x14ac:dyDescent="0.35">
      <c r="A66" s="1">
        <v>63</v>
      </c>
      <c r="B66" s="1">
        <v>26</v>
      </c>
      <c r="C66" s="26">
        <v>0.46656249999999999</v>
      </c>
      <c r="D66" s="26">
        <f>C66-'Leg 5'!C67</f>
        <v>6.430555555555556E-2</v>
      </c>
      <c r="E66" s="1">
        <f>VLOOKUP(B66,Registration!$B$3:$C$77,2,FALSE)</f>
        <v>7</v>
      </c>
      <c r="F66" s="1">
        <v>8</v>
      </c>
      <c r="G66" s="20">
        <f t="shared" si="1"/>
        <v>7.4773901808785539E-3</v>
      </c>
    </row>
    <row r="67" spans="1:7" x14ac:dyDescent="0.35">
      <c r="A67" s="1">
        <v>64</v>
      </c>
      <c r="D67" s="26"/>
      <c r="E67" s="1"/>
      <c r="G67" s="20"/>
    </row>
    <row r="68" spans="1:7" x14ac:dyDescent="0.35">
      <c r="A68" s="1">
        <v>65</v>
      </c>
      <c r="D68" s="26"/>
      <c r="E68" s="1"/>
      <c r="G68" s="20"/>
    </row>
    <row r="69" spans="1:7" x14ac:dyDescent="0.35">
      <c r="D69" s="26"/>
      <c r="E69" s="1"/>
      <c r="G69" s="20"/>
    </row>
    <row r="70" spans="1:7" x14ac:dyDescent="0.35">
      <c r="B70" s="1">
        <v>23</v>
      </c>
      <c r="C70" s="27" t="s">
        <v>85</v>
      </c>
      <c r="E70" s="1">
        <f>VLOOKUP(B70,Registration!$B$3:$C$77,2,FALSE)</f>
        <v>7</v>
      </c>
      <c r="G70" s="20"/>
    </row>
    <row r="71" spans="1:7" x14ac:dyDescent="0.35">
      <c r="B71" s="1">
        <v>66</v>
      </c>
      <c r="C71" s="27" t="s">
        <v>85</v>
      </c>
      <c r="E71" s="1">
        <f>VLOOKUP(B71,Registration!$B$3:$C$77,2,FALSE)</f>
        <v>11</v>
      </c>
      <c r="G71" s="20"/>
    </row>
    <row r="72" spans="1:7" x14ac:dyDescent="0.35">
      <c r="B72" s="1">
        <v>67</v>
      </c>
      <c r="C72" s="27" t="s">
        <v>85</v>
      </c>
      <c r="E72" s="1">
        <f>VLOOKUP(B72,Registration!$B$3:$C$77,2,FALSE)</f>
        <v>12</v>
      </c>
      <c r="G72" s="20"/>
    </row>
    <row r="73" spans="1:7" x14ac:dyDescent="0.35">
      <c r="E73" s="1"/>
    </row>
    <row r="74" spans="1:7" x14ac:dyDescent="0.35">
      <c r="E74" s="1"/>
    </row>
    <row r="75" spans="1:7" x14ac:dyDescent="0.35">
      <c r="E75" s="1"/>
    </row>
    <row r="76" spans="1:7" x14ac:dyDescent="0.35">
      <c r="E76" s="1"/>
    </row>
    <row r="77" spans="1:7" x14ac:dyDescent="0.35">
      <c r="E7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opLeftCell="A46" workbookViewId="0">
      <selection activeCell="D67" sqref="D67"/>
    </sheetView>
  </sheetViews>
  <sheetFormatPr defaultColWidth="8.81640625" defaultRowHeight="14.5" x14ac:dyDescent="0.35"/>
  <cols>
    <col min="1" max="1" width="6.36328125" customWidth="1"/>
    <col min="2" max="2" width="5.81640625" customWidth="1"/>
    <col min="3" max="3" width="9.81640625" style="29" customWidth="1"/>
    <col min="4" max="4" width="9.6328125" style="29" customWidth="1"/>
    <col min="5" max="5" width="6.453125" customWidth="1"/>
    <col min="6" max="6" width="8.81640625" style="1"/>
  </cols>
  <sheetData>
    <row r="1" spans="1:7" ht="18.5" x14ac:dyDescent="0.45">
      <c r="A1" s="4" t="s">
        <v>15</v>
      </c>
      <c r="B1" s="5" t="s">
        <v>3</v>
      </c>
      <c r="C1" s="28"/>
      <c r="D1" s="28"/>
      <c r="E1" s="10"/>
      <c r="F1" s="33"/>
    </row>
    <row r="2" spans="1:7" ht="18.5" x14ac:dyDescent="0.45">
      <c r="B2" s="5"/>
      <c r="C2" s="28"/>
      <c r="D2" s="28"/>
      <c r="E2" s="10"/>
      <c r="F2" s="33"/>
      <c r="G2" s="37" t="s">
        <v>94</v>
      </c>
    </row>
    <row r="3" spans="1:7" ht="15.5" x14ac:dyDescent="0.35">
      <c r="A3" s="12" t="s">
        <v>17</v>
      </c>
      <c r="B3" s="9" t="s">
        <v>6</v>
      </c>
      <c r="C3" s="22" t="s">
        <v>16</v>
      </c>
      <c r="D3" s="22" t="s">
        <v>2</v>
      </c>
      <c r="E3" s="6" t="s">
        <v>0</v>
      </c>
      <c r="F3" s="6" t="s">
        <v>1</v>
      </c>
      <c r="G3" s="23" t="s">
        <v>89</v>
      </c>
    </row>
    <row r="4" spans="1:7" x14ac:dyDescent="0.35">
      <c r="A4" s="1">
        <v>1</v>
      </c>
      <c r="B4">
        <v>1</v>
      </c>
      <c r="C4" s="29">
        <v>0.28646990740740741</v>
      </c>
      <c r="D4" s="29">
        <f>C4-'Leg 6'!C5</f>
        <v>4.250000000000001E-2</v>
      </c>
      <c r="E4" s="1">
        <f>VLOOKUP(B4,Registration!$B$3:$C$77,2,FALSE)</f>
        <v>1</v>
      </c>
      <c r="F4" s="1">
        <v>1</v>
      </c>
      <c r="G4" s="16">
        <f>D4/11.1</f>
        <v>3.8288288288288301E-3</v>
      </c>
    </row>
    <row r="5" spans="1:7" x14ac:dyDescent="0.35">
      <c r="A5" s="1">
        <v>2</v>
      </c>
      <c r="B5">
        <v>68</v>
      </c>
      <c r="C5" s="29">
        <v>0.28778935185185184</v>
      </c>
      <c r="D5" s="29">
        <f>C5-'Leg 6'!C4</f>
        <v>4.4074074074074043E-2</v>
      </c>
      <c r="E5" s="1">
        <f>VLOOKUP(B5,Registration!$B$3:$C$77,2,FALSE)</f>
        <v>1</v>
      </c>
      <c r="F5" s="1">
        <v>2</v>
      </c>
      <c r="G5" s="16">
        <f t="shared" ref="G5:G66" si="0">D5/11.1</f>
        <v>3.9706373039706351E-3</v>
      </c>
    </row>
    <row r="6" spans="1:7" x14ac:dyDescent="0.35">
      <c r="A6" s="1">
        <v>3</v>
      </c>
      <c r="B6">
        <v>7</v>
      </c>
      <c r="C6" s="29">
        <v>0.30519675925925926</v>
      </c>
      <c r="D6" s="29">
        <f>C6-'Leg 6'!C6</f>
        <v>4.5393518518518527E-2</v>
      </c>
      <c r="E6" s="1">
        <f>VLOOKUP(B6,Registration!$B$3:$C$77,2,FALSE)</f>
        <v>1</v>
      </c>
      <c r="F6" s="1">
        <v>3</v>
      </c>
      <c r="G6" s="16">
        <f t="shared" si="0"/>
        <v>4.0895061728395072E-3</v>
      </c>
    </row>
    <row r="7" spans="1:7" x14ac:dyDescent="0.35">
      <c r="A7" s="1">
        <v>4</v>
      </c>
      <c r="B7">
        <v>5</v>
      </c>
      <c r="C7" s="29">
        <v>0.31356481481481485</v>
      </c>
      <c r="D7" s="29">
        <f>C7-'Leg 6'!C8</f>
        <v>4.8796296296296338E-2</v>
      </c>
      <c r="E7" s="1">
        <f>VLOOKUP(B7,Registration!$B$3:$C$77,2,FALSE)</f>
        <v>1</v>
      </c>
      <c r="F7" s="1">
        <v>4</v>
      </c>
      <c r="G7" s="16">
        <f t="shared" si="0"/>
        <v>4.3960627293960662E-3</v>
      </c>
    </row>
    <row r="8" spans="1:7" x14ac:dyDescent="0.35">
      <c r="A8" s="1">
        <v>5</v>
      </c>
      <c r="B8">
        <v>9</v>
      </c>
      <c r="C8" s="29">
        <v>0.31668981481481479</v>
      </c>
      <c r="D8" s="29">
        <f>C8-'Leg 6'!C7</f>
        <v>5.2094907407407409E-2</v>
      </c>
      <c r="E8" s="1">
        <f>VLOOKUP(B8,Registration!$B$3:$C$77,2,FALSE)</f>
        <v>2</v>
      </c>
      <c r="F8" s="1">
        <v>1</v>
      </c>
      <c r="G8" s="16">
        <f t="shared" si="0"/>
        <v>4.6932349015682351E-3</v>
      </c>
    </row>
    <row r="9" spans="1:7" x14ac:dyDescent="0.35">
      <c r="A9" s="1">
        <v>6</v>
      </c>
      <c r="B9">
        <v>2</v>
      </c>
      <c r="C9" s="29">
        <v>0.31797453703703704</v>
      </c>
      <c r="D9" s="29">
        <f>C9-'Leg 6'!C9</f>
        <v>4.6655092592592595E-2</v>
      </c>
      <c r="E9" s="1">
        <f>VLOOKUP(B9,Registration!$B$3:$C$77,2,FALSE)</f>
        <v>1</v>
      </c>
      <c r="F9" s="1">
        <v>5</v>
      </c>
      <c r="G9" s="16">
        <f t="shared" si="0"/>
        <v>4.2031614948281615E-3</v>
      </c>
    </row>
    <row r="10" spans="1:7" x14ac:dyDescent="0.35">
      <c r="A10" s="1">
        <v>7</v>
      </c>
      <c r="B10">
        <v>18</v>
      </c>
      <c r="C10" s="29">
        <v>0.33782407407407411</v>
      </c>
      <c r="D10" s="29">
        <f>C10-'Leg 6'!C10</f>
        <v>5.0173611111111127E-2</v>
      </c>
      <c r="E10" s="1">
        <f>VLOOKUP(B10,Registration!$B$3:$C$77,2,FALSE)</f>
        <v>6</v>
      </c>
      <c r="F10" s="1">
        <v>1</v>
      </c>
      <c r="G10" s="16">
        <f t="shared" si="0"/>
        <v>4.5201451451451465E-3</v>
      </c>
    </row>
    <row r="11" spans="1:7" x14ac:dyDescent="0.35">
      <c r="A11" s="1">
        <v>8</v>
      </c>
      <c r="B11">
        <v>47</v>
      </c>
      <c r="C11" s="29">
        <v>0.33837962962962959</v>
      </c>
      <c r="D11" s="29">
        <f>C11-'Leg 6'!C11</f>
        <v>4.99768518518518E-2</v>
      </c>
      <c r="E11" s="1">
        <f>VLOOKUP(B11,Registration!$B$3:$C$77,2,FALSE)</f>
        <v>8</v>
      </c>
      <c r="F11" s="1">
        <v>1</v>
      </c>
      <c r="G11" s="16">
        <f t="shared" si="0"/>
        <v>4.5024190857524144E-3</v>
      </c>
    </row>
    <row r="12" spans="1:7" x14ac:dyDescent="0.35">
      <c r="A12" s="1">
        <v>9</v>
      </c>
      <c r="B12">
        <v>43</v>
      </c>
      <c r="C12" s="29">
        <v>0.35443287037037036</v>
      </c>
      <c r="D12" s="29">
        <f>C12-'Leg 6'!C12</f>
        <v>5.7499999999999996E-2</v>
      </c>
      <c r="E12" s="1">
        <f>VLOOKUP(B12,Registration!$B$3:$C$77,2,FALSE)</f>
        <v>8</v>
      </c>
      <c r="F12" s="1">
        <v>2</v>
      </c>
      <c r="G12" s="16">
        <f t="shared" si="0"/>
        <v>5.1801801801801802E-3</v>
      </c>
    </row>
    <row r="13" spans="1:7" x14ac:dyDescent="0.35">
      <c r="A13" s="1">
        <v>10</v>
      </c>
      <c r="B13">
        <v>59</v>
      </c>
      <c r="C13" s="29">
        <v>0.35488425925925932</v>
      </c>
      <c r="D13" s="29">
        <f>C13-'Leg 6'!C13</f>
        <v>5.3090277777777861E-2</v>
      </c>
      <c r="E13" s="1">
        <f>VLOOKUP(B13,Registration!$B$3:$C$77,2,FALSE)</f>
        <v>10</v>
      </c>
      <c r="F13" s="1">
        <v>1</v>
      </c>
      <c r="G13" s="16">
        <f t="shared" si="0"/>
        <v>4.7829079079079158E-3</v>
      </c>
    </row>
    <row r="14" spans="1:7" x14ac:dyDescent="0.35">
      <c r="A14" s="1">
        <v>11</v>
      </c>
      <c r="B14">
        <v>17</v>
      </c>
      <c r="C14" s="29">
        <v>0.35825231481481484</v>
      </c>
      <c r="D14" s="29">
        <f>C14-'Leg 6'!C14</f>
        <v>5.1550925925925972E-2</v>
      </c>
      <c r="E14" s="1">
        <f>VLOOKUP(B14,Registration!$B$3:$C$77,2,FALSE)</f>
        <v>6</v>
      </c>
      <c r="F14" s="1">
        <v>2</v>
      </c>
      <c r="G14" s="16">
        <f t="shared" si="0"/>
        <v>4.644227560894232E-3</v>
      </c>
    </row>
    <row r="15" spans="1:7" x14ac:dyDescent="0.35">
      <c r="A15" s="1">
        <v>12</v>
      </c>
      <c r="B15">
        <v>58</v>
      </c>
      <c r="C15" s="29">
        <v>0.35827546296296298</v>
      </c>
      <c r="D15" s="29">
        <f>C15-'Leg 6'!C15</f>
        <v>5.150462962962965E-2</v>
      </c>
      <c r="E15" s="1">
        <f>VLOOKUP(B15,Registration!$B$3:$C$77,2,FALSE)</f>
        <v>10</v>
      </c>
      <c r="F15" s="1">
        <v>3</v>
      </c>
      <c r="G15" s="16">
        <f t="shared" si="0"/>
        <v>4.6400567233900588E-3</v>
      </c>
    </row>
    <row r="16" spans="1:7" x14ac:dyDescent="0.35">
      <c r="A16" s="1">
        <v>13</v>
      </c>
      <c r="B16">
        <v>63</v>
      </c>
      <c r="C16" s="29">
        <v>0.36045138888888889</v>
      </c>
      <c r="D16" s="29">
        <f>C16-'Leg 6'!C16</f>
        <v>5.1226851851851829E-2</v>
      </c>
      <c r="E16" s="1">
        <f>VLOOKUP(B16,Registration!$B$3:$C$77,2,FALSE)</f>
        <v>10</v>
      </c>
      <c r="F16" s="1">
        <v>4</v>
      </c>
      <c r="G16" s="16">
        <f t="shared" si="0"/>
        <v>4.6150316983650302E-3</v>
      </c>
    </row>
    <row r="17" spans="1:7" x14ac:dyDescent="0.35">
      <c r="A17" s="1">
        <v>14</v>
      </c>
      <c r="B17">
        <v>45</v>
      </c>
      <c r="C17" s="29">
        <v>0.36180555555555555</v>
      </c>
      <c r="D17" s="29">
        <f>C17-'Leg 6'!C19</f>
        <v>5.0787037037037019E-2</v>
      </c>
      <c r="E17" s="1">
        <f>VLOOKUP(B17,Registration!$B$3:$C$77,2,FALSE)</f>
        <v>8</v>
      </c>
      <c r="F17" s="1">
        <v>3</v>
      </c>
      <c r="G17" s="16">
        <f t="shared" si="0"/>
        <v>4.5754087420754076E-3</v>
      </c>
    </row>
    <row r="18" spans="1:7" x14ac:dyDescent="0.35">
      <c r="A18" s="1">
        <v>15</v>
      </c>
      <c r="B18">
        <v>4</v>
      </c>
      <c r="C18" s="29">
        <v>0.36331018518518521</v>
      </c>
      <c r="D18" s="29">
        <f>C18-'Leg 6'!C18</f>
        <v>5.3101851851851845E-2</v>
      </c>
      <c r="E18" s="1">
        <f>VLOOKUP(B18,Registration!$B$3:$C$77,2,FALSE)</f>
        <v>1</v>
      </c>
      <c r="F18" s="1">
        <v>6</v>
      </c>
      <c r="G18" s="16">
        <f t="shared" si="0"/>
        <v>4.78395061728395E-3</v>
      </c>
    </row>
    <row r="19" spans="1:7" x14ac:dyDescent="0.35">
      <c r="A19" s="1">
        <v>16</v>
      </c>
      <c r="B19">
        <v>6</v>
      </c>
      <c r="C19" s="29">
        <v>0.36965277777777777</v>
      </c>
      <c r="D19" s="29">
        <f>C19-'Leg 6'!C17</f>
        <v>6.0150462962962947E-2</v>
      </c>
      <c r="E19" s="1">
        <f>VLOOKUP(B19,Registration!$B$3:$C$77,2,FALSE)</f>
        <v>1</v>
      </c>
      <c r="F19" s="1">
        <v>7</v>
      </c>
      <c r="G19" s="16">
        <f t="shared" si="0"/>
        <v>5.4189606272939594E-3</v>
      </c>
    </row>
    <row r="20" spans="1:7" x14ac:dyDescent="0.35">
      <c r="A20" s="1">
        <v>17</v>
      </c>
      <c r="B20">
        <v>62</v>
      </c>
      <c r="C20" s="29">
        <v>0.37041666666666667</v>
      </c>
      <c r="D20" s="29">
        <f>C20-'Leg 6'!C23</f>
        <v>5.2118055555555598E-2</v>
      </c>
      <c r="E20" s="1">
        <f>VLOOKUP(B20,Registration!$B$3:$C$77,2,FALSE)</f>
        <v>10</v>
      </c>
      <c r="F20" s="1">
        <v>5</v>
      </c>
      <c r="G20" s="16">
        <f t="shared" si="0"/>
        <v>4.6953203203203243E-3</v>
      </c>
    </row>
    <row r="21" spans="1:7" x14ac:dyDescent="0.35">
      <c r="A21" s="1">
        <v>18</v>
      </c>
      <c r="B21">
        <v>15</v>
      </c>
      <c r="C21" s="29">
        <v>0.37049768518518517</v>
      </c>
      <c r="D21" s="29">
        <f>C21-'Leg 6'!C22</f>
        <v>5.2476851851851802E-2</v>
      </c>
      <c r="E21" s="1">
        <f>VLOOKUP(B21,Registration!$B$3:$C$77,2,FALSE)</f>
        <v>6</v>
      </c>
      <c r="F21" s="1">
        <v>3</v>
      </c>
      <c r="G21" s="16">
        <f t="shared" si="0"/>
        <v>4.7276443109776399E-3</v>
      </c>
    </row>
    <row r="22" spans="1:7" x14ac:dyDescent="0.35">
      <c r="A22" s="1">
        <v>19</v>
      </c>
      <c r="B22">
        <v>53</v>
      </c>
      <c r="C22" s="29">
        <v>0.37594907407407407</v>
      </c>
      <c r="D22" s="29">
        <f>C22-'Leg 6'!C20</f>
        <v>6.0763888888888895E-2</v>
      </c>
      <c r="E22" s="1">
        <f>VLOOKUP(B22,Registration!$B$3:$C$77,2,FALSE)</f>
        <v>9</v>
      </c>
      <c r="F22" s="1">
        <v>1</v>
      </c>
      <c r="G22" s="16">
        <f t="shared" si="0"/>
        <v>5.4742242242242249E-3</v>
      </c>
    </row>
    <row r="23" spans="1:7" x14ac:dyDescent="0.35">
      <c r="A23" s="1">
        <v>20</v>
      </c>
      <c r="B23">
        <v>34</v>
      </c>
      <c r="C23" s="29">
        <v>0.38576388888888885</v>
      </c>
      <c r="D23" s="29">
        <f>C23-'Leg 6'!C21</f>
        <v>6.7951388888888853E-2</v>
      </c>
      <c r="E23" s="1">
        <f>VLOOKUP(B23,Registration!$B$3:$C$77,2,FALSE)</f>
        <v>8</v>
      </c>
      <c r="F23" s="1">
        <v>4</v>
      </c>
      <c r="G23" s="16">
        <f t="shared" si="0"/>
        <v>6.1217467467467434E-3</v>
      </c>
    </row>
    <row r="24" spans="1:7" x14ac:dyDescent="0.35">
      <c r="A24" s="1">
        <v>21</v>
      </c>
      <c r="B24">
        <v>65</v>
      </c>
      <c r="C24" s="29">
        <v>0.39054398148148151</v>
      </c>
      <c r="D24" s="29">
        <f>C24-'Leg 6'!C25</f>
        <v>5.4814814814814872E-2</v>
      </c>
      <c r="E24" s="1">
        <f>VLOOKUP(B24,Registration!$B$3:$C$77,2,FALSE)</f>
        <v>10</v>
      </c>
      <c r="F24" s="1">
        <v>6</v>
      </c>
      <c r="G24" s="16">
        <f t="shared" si="0"/>
        <v>4.9382716049382767E-3</v>
      </c>
    </row>
    <row r="25" spans="1:7" x14ac:dyDescent="0.35">
      <c r="A25" s="1">
        <v>22</v>
      </c>
      <c r="B25">
        <v>46</v>
      </c>
      <c r="C25" s="29">
        <v>0.39159722222222221</v>
      </c>
      <c r="D25" s="29">
        <f>C25-'Leg 6'!C26</f>
        <v>5.2974537037037028E-2</v>
      </c>
      <c r="E25" s="1">
        <f>VLOOKUP(B25,Registration!$B$3:$C$77,2,FALSE)</f>
        <v>8</v>
      </c>
      <c r="F25" s="1">
        <v>5</v>
      </c>
      <c r="G25" s="16">
        <f t="shared" si="0"/>
        <v>4.7724808141474803E-3</v>
      </c>
    </row>
    <row r="26" spans="1:7" x14ac:dyDescent="0.35">
      <c r="A26" s="1">
        <v>23</v>
      </c>
      <c r="B26">
        <v>44</v>
      </c>
      <c r="C26" s="29">
        <v>0.3967013888888889</v>
      </c>
      <c r="D26" s="29">
        <f>C26-'Leg 6'!C24</f>
        <v>6.438657407407411E-2</v>
      </c>
      <c r="E26" s="1">
        <f>VLOOKUP(B26,Registration!$B$3:$C$77,2,FALSE)</f>
        <v>8</v>
      </c>
      <c r="F26" s="1">
        <v>6</v>
      </c>
      <c r="G26" s="16">
        <f t="shared" si="0"/>
        <v>5.8005922589255956E-3</v>
      </c>
    </row>
    <row r="27" spans="1:7" x14ac:dyDescent="0.35">
      <c r="A27" s="1">
        <v>24</v>
      </c>
      <c r="B27">
        <v>30</v>
      </c>
      <c r="C27" s="29">
        <v>0.40129629629629626</v>
      </c>
      <c r="D27" s="29">
        <f>C27-'Leg 6'!C27</f>
        <v>6.032407407407403E-2</v>
      </c>
      <c r="E27" s="1">
        <f>VLOOKUP(B27,Registration!$B$3:$C$77,2,FALSE)</f>
        <v>8</v>
      </c>
      <c r="F27" s="1">
        <v>7</v>
      </c>
      <c r="G27" s="16">
        <f t="shared" si="0"/>
        <v>5.4346012679345971E-3</v>
      </c>
    </row>
    <row r="28" spans="1:7" x14ac:dyDescent="0.35">
      <c r="A28" s="1">
        <v>25</v>
      </c>
      <c r="B28">
        <v>22</v>
      </c>
      <c r="C28" s="29">
        <v>0.4031481481481482</v>
      </c>
      <c r="D28" s="29">
        <f>C28-'Leg 6'!C29</f>
        <v>5.9351851851851878E-2</v>
      </c>
      <c r="E28" s="1">
        <f>VLOOKUP(B28,Registration!$B$3:$C$77,2,FALSE)</f>
        <v>7</v>
      </c>
      <c r="F28" s="1">
        <v>1</v>
      </c>
      <c r="G28" s="16">
        <f t="shared" si="0"/>
        <v>5.347013680347016E-3</v>
      </c>
    </row>
    <row r="29" spans="1:7" x14ac:dyDescent="0.35">
      <c r="A29" s="1">
        <v>26</v>
      </c>
      <c r="B29">
        <v>56</v>
      </c>
      <c r="C29" s="29">
        <v>0.40400462962962963</v>
      </c>
      <c r="D29" s="29">
        <f>C29-'Leg 6'!C28</f>
        <v>6.2314814814814823E-2</v>
      </c>
      <c r="E29" s="1">
        <f>VLOOKUP(B29,Registration!$B$3:$C$77,2,FALSE)</f>
        <v>9</v>
      </c>
      <c r="F29" s="1">
        <v>2</v>
      </c>
      <c r="G29" s="16">
        <f t="shared" si="0"/>
        <v>5.6139472806139481E-3</v>
      </c>
    </row>
    <row r="30" spans="1:7" x14ac:dyDescent="0.35">
      <c r="A30" s="1">
        <v>27</v>
      </c>
      <c r="B30">
        <v>20</v>
      </c>
      <c r="C30" s="29">
        <v>0.40712962962962962</v>
      </c>
      <c r="D30" s="29">
        <f>C30-'Leg 6'!C34</f>
        <v>5.4351851851851818E-2</v>
      </c>
      <c r="E30" s="1">
        <f>VLOOKUP(B30,Registration!$B$3:$C$77,2,FALSE)</f>
        <v>6</v>
      </c>
      <c r="F30" s="1">
        <v>2</v>
      </c>
      <c r="G30" s="16">
        <f>D30/11.1</f>
        <v>4.8965632298965606E-3</v>
      </c>
    </row>
    <row r="31" spans="1:7" x14ac:dyDescent="0.35">
      <c r="A31" s="1">
        <v>28</v>
      </c>
      <c r="B31">
        <v>57</v>
      </c>
      <c r="C31" s="29">
        <v>0.40879629629629632</v>
      </c>
      <c r="D31" s="29">
        <f>C31-'Leg 6'!C30</f>
        <v>5.9085648148148151E-2</v>
      </c>
      <c r="E31" s="1">
        <f>VLOOKUP(B31,Registration!$B$3:$C$77,2,FALSE)</f>
        <v>9</v>
      </c>
      <c r="F31" s="1">
        <v>3</v>
      </c>
      <c r="G31" s="16">
        <f t="shared" si="0"/>
        <v>5.323031364698032E-3</v>
      </c>
    </row>
    <row r="32" spans="1:7" x14ac:dyDescent="0.35">
      <c r="A32" s="1">
        <v>29</v>
      </c>
      <c r="B32">
        <v>19</v>
      </c>
      <c r="C32" s="29">
        <v>0.41076388888888887</v>
      </c>
      <c r="D32" s="29">
        <f>C32-'Leg 6'!C36</f>
        <v>5.6342592592592611E-2</v>
      </c>
      <c r="E32" s="1">
        <f>VLOOKUP(B32,Registration!$B$3:$C$77,2,FALSE)</f>
        <v>6</v>
      </c>
      <c r="F32" s="1">
        <v>3</v>
      </c>
      <c r="G32" s="16">
        <f t="shared" si="0"/>
        <v>5.0759092425759107E-3</v>
      </c>
    </row>
    <row r="33" spans="1:7" x14ac:dyDescent="0.35">
      <c r="A33" s="1">
        <v>30</v>
      </c>
      <c r="B33">
        <v>29</v>
      </c>
      <c r="C33" s="29">
        <v>0.41094907407407405</v>
      </c>
      <c r="D33" s="29">
        <f>C33-'Leg 6'!C33</f>
        <v>5.8645833333333341E-2</v>
      </c>
      <c r="E33" s="1">
        <f>VLOOKUP(B33,Registration!$B$3:$C$77,2,FALSE)</f>
        <v>8</v>
      </c>
      <c r="F33" s="1">
        <v>8</v>
      </c>
      <c r="G33" s="16">
        <f t="shared" si="0"/>
        <v>5.2834084084084094E-3</v>
      </c>
    </row>
    <row r="34" spans="1:7" x14ac:dyDescent="0.35">
      <c r="A34" s="1">
        <v>31</v>
      </c>
      <c r="B34">
        <v>11</v>
      </c>
      <c r="C34" s="29">
        <v>0.41202546296296294</v>
      </c>
      <c r="D34" s="29">
        <f>C34-'Leg 6'!C35</f>
        <v>5.9062499999999962E-2</v>
      </c>
      <c r="E34" s="1">
        <f>VLOOKUP(B34,Registration!$B$3:$C$77,2,FALSE)</f>
        <v>3</v>
      </c>
      <c r="F34" s="1">
        <v>1</v>
      </c>
      <c r="G34" s="16">
        <f t="shared" si="0"/>
        <v>5.3209459459459428E-3</v>
      </c>
    </row>
    <row r="35" spans="1:7" x14ac:dyDescent="0.35">
      <c r="A35" s="1">
        <v>32</v>
      </c>
      <c r="B35">
        <v>61</v>
      </c>
      <c r="C35" s="29">
        <v>0.41304398148148147</v>
      </c>
      <c r="D35" s="29">
        <f>C35-'Leg 6'!C31</f>
        <v>6.2870370370370354E-2</v>
      </c>
      <c r="E35" s="1">
        <f>VLOOKUP(B35,Registration!$B$3:$C$77,2,FALSE)</f>
        <v>10</v>
      </c>
      <c r="F35" s="1">
        <v>7</v>
      </c>
      <c r="G35" s="16">
        <f t="shared" si="0"/>
        <v>5.6639973306639958E-3</v>
      </c>
    </row>
    <row r="36" spans="1:7" x14ac:dyDescent="0.35">
      <c r="A36" s="1">
        <v>33</v>
      </c>
      <c r="B36">
        <v>41</v>
      </c>
      <c r="C36" s="29">
        <v>0.41309027777777779</v>
      </c>
      <c r="D36" s="29">
        <f>C36-'Leg 6'!C32</f>
        <v>6.2071759259259229E-2</v>
      </c>
      <c r="E36" s="1">
        <f>VLOOKUP(B36,Registration!$B$3:$C$77,2,FALSE)</f>
        <v>8</v>
      </c>
      <c r="F36" s="1">
        <v>9</v>
      </c>
      <c r="G36" s="16">
        <f t="shared" si="0"/>
        <v>5.592050383717048E-3</v>
      </c>
    </row>
    <row r="37" spans="1:7" x14ac:dyDescent="0.35">
      <c r="A37" s="1">
        <v>34</v>
      </c>
      <c r="B37">
        <v>10</v>
      </c>
      <c r="C37" s="29">
        <v>0.41763888888888889</v>
      </c>
      <c r="D37" s="29">
        <f>C37-'Leg 6'!C39</f>
        <v>5.7118055555555547E-2</v>
      </c>
      <c r="E37" s="1">
        <f>VLOOKUP(B37,Registration!$B$3:$C$77,2,FALSE)</f>
        <v>3</v>
      </c>
      <c r="F37" s="1">
        <v>2</v>
      </c>
      <c r="G37" s="16">
        <f t="shared" si="0"/>
        <v>5.1457707707707702E-3</v>
      </c>
    </row>
    <row r="38" spans="1:7" x14ac:dyDescent="0.35">
      <c r="A38" s="1">
        <v>35</v>
      </c>
      <c r="B38">
        <v>32</v>
      </c>
      <c r="C38" s="29">
        <v>0.41978009259259258</v>
      </c>
      <c r="D38" s="29">
        <f>C38-'Leg 6'!C38</f>
        <v>6.4050925925925928E-2</v>
      </c>
      <c r="E38" s="1">
        <f>VLOOKUP(B38,Registration!$B$3:$C$77,2,FALSE)</f>
        <v>8</v>
      </c>
      <c r="F38" s="1">
        <v>10</v>
      </c>
      <c r="G38" s="16">
        <f t="shared" si="0"/>
        <v>5.7703536870203544E-3</v>
      </c>
    </row>
    <row r="39" spans="1:7" x14ac:dyDescent="0.35">
      <c r="A39" s="1">
        <v>36</v>
      </c>
      <c r="B39">
        <v>31</v>
      </c>
      <c r="C39" s="29">
        <v>0.4244560185185185</v>
      </c>
      <c r="D39" s="29">
        <f>C39-'Leg 6'!C37</f>
        <v>6.957175925925918E-2</v>
      </c>
      <c r="E39" s="1">
        <f>VLOOKUP(B39,Registration!$B$3:$C$77,2,FALSE)</f>
        <v>8</v>
      </c>
      <c r="F39" s="1">
        <v>11</v>
      </c>
      <c r="G39" s="16">
        <f t="shared" si="0"/>
        <v>6.2677260593927194E-3</v>
      </c>
    </row>
    <row r="40" spans="1:7" x14ac:dyDescent="0.35">
      <c r="A40" s="1">
        <v>37</v>
      </c>
      <c r="B40">
        <v>33</v>
      </c>
      <c r="C40" s="29">
        <v>0.4255902777777778</v>
      </c>
      <c r="D40" s="29">
        <f>C40-'Leg 6'!C40</f>
        <v>5.7210648148148191E-2</v>
      </c>
      <c r="E40" s="1">
        <f>VLOOKUP(B40,Registration!$B$3:$C$77,2,FALSE)</f>
        <v>8</v>
      </c>
      <c r="F40" s="1">
        <v>12</v>
      </c>
      <c r="G40" s="16">
        <f t="shared" si="0"/>
        <v>5.1541124457791165E-3</v>
      </c>
    </row>
    <row r="41" spans="1:7" x14ac:dyDescent="0.35">
      <c r="A41" s="1">
        <v>38</v>
      </c>
      <c r="B41">
        <v>25</v>
      </c>
      <c r="C41" s="29">
        <v>0.42826388888888883</v>
      </c>
      <c r="D41" s="29">
        <f>C41-'Leg 6'!C42</f>
        <v>5.5925925925925823E-2</v>
      </c>
      <c r="E41" s="1">
        <f>VLOOKUP(B41,Registration!$B$3:$C$77,2,FALSE)</f>
        <v>7</v>
      </c>
      <c r="F41" s="1">
        <v>2</v>
      </c>
      <c r="G41" s="16">
        <f t="shared" si="0"/>
        <v>5.0383717050383626E-3</v>
      </c>
    </row>
    <row r="42" spans="1:7" x14ac:dyDescent="0.35">
      <c r="A42" s="1">
        <v>39</v>
      </c>
      <c r="B42">
        <v>24</v>
      </c>
      <c r="C42" s="29">
        <v>0.43027777777777776</v>
      </c>
      <c r="D42" s="29">
        <f>C42-'Leg 6'!C43</f>
        <v>5.5833333333333346E-2</v>
      </c>
      <c r="E42" s="1">
        <f>VLOOKUP(B42,Registration!$B$3:$C$77,2,FALSE)</f>
        <v>7</v>
      </c>
      <c r="F42" s="1">
        <v>3</v>
      </c>
      <c r="G42" s="16">
        <f t="shared" si="0"/>
        <v>5.030030030030031E-3</v>
      </c>
    </row>
    <row r="43" spans="1:7" x14ac:dyDescent="0.35">
      <c r="A43" s="1">
        <v>40</v>
      </c>
      <c r="B43">
        <v>21</v>
      </c>
      <c r="C43" s="29">
        <v>0.44035879629629626</v>
      </c>
      <c r="D43" s="29">
        <f>C43-'Leg 6'!C41</f>
        <v>6.9594907407407369E-2</v>
      </c>
      <c r="E43" s="1">
        <f>VLOOKUP(B43,Registration!$B$3:$C$77,2,FALSE)</f>
        <v>7</v>
      </c>
      <c r="F43" s="1">
        <v>4</v>
      </c>
      <c r="G43" s="16">
        <f t="shared" si="0"/>
        <v>6.2698114781448086E-3</v>
      </c>
    </row>
    <row r="44" spans="1:7" x14ac:dyDescent="0.35">
      <c r="A44" s="1">
        <v>41</v>
      </c>
      <c r="B44">
        <v>49</v>
      </c>
      <c r="C44" s="29">
        <v>0.44037037037037036</v>
      </c>
      <c r="D44" s="29">
        <f>C44-'Leg 6'!C47</f>
        <v>5.2164351851851809E-2</v>
      </c>
      <c r="E44" s="1">
        <f>VLOOKUP(B44,Registration!$B$3:$C$77,2,FALSE)</f>
        <v>9</v>
      </c>
      <c r="F44" s="1">
        <v>4</v>
      </c>
      <c r="G44" s="16">
        <f t="shared" si="0"/>
        <v>4.6994911578244871E-3</v>
      </c>
    </row>
    <row r="45" spans="1:7" x14ac:dyDescent="0.35">
      <c r="A45" s="1">
        <v>42</v>
      </c>
      <c r="B45">
        <v>48</v>
      </c>
      <c r="C45" s="29">
        <v>0.45280092592592597</v>
      </c>
      <c r="D45" s="29">
        <f>C45-'Leg 6'!C47</f>
        <v>6.459490740740742E-2</v>
      </c>
      <c r="E45" s="1">
        <f>VLOOKUP(B45,Registration!$B$3:$C$77,2,FALSE)</f>
        <v>9</v>
      </c>
      <c r="F45" s="1">
        <v>5</v>
      </c>
      <c r="G45" s="16">
        <f t="shared" si="0"/>
        <v>5.8193610276943628E-3</v>
      </c>
    </row>
    <row r="46" spans="1:7" x14ac:dyDescent="0.35">
      <c r="A46" s="1">
        <v>43</v>
      </c>
      <c r="B46">
        <v>37</v>
      </c>
      <c r="C46" s="29">
        <v>0.46009259259259255</v>
      </c>
      <c r="D46" s="29">
        <f>C46-'Leg 6'!C46</f>
        <v>7.550925925925922E-2</v>
      </c>
      <c r="E46" s="1">
        <f>VLOOKUP(B46,Registration!$B$3:$C$77,2,FALSE)</f>
        <v>8</v>
      </c>
      <c r="F46" s="1">
        <v>13</v>
      </c>
      <c r="G46" s="16">
        <f t="shared" si="0"/>
        <v>6.8026359693026325E-3</v>
      </c>
    </row>
    <row r="47" spans="1:7" x14ac:dyDescent="0.35">
      <c r="A47" s="1">
        <v>44</v>
      </c>
      <c r="B47">
        <v>39</v>
      </c>
      <c r="C47" s="29">
        <v>0.46085648148148151</v>
      </c>
      <c r="D47" s="29">
        <f>C47-'Leg 6'!C44</f>
        <v>8.5520833333333324E-2</v>
      </c>
      <c r="E47" s="1">
        <f>VLOOKUP(B47,Registration!$B$3:$C$77,2,FALSE)</f>
        <v>8</v>
      </c>
      <c r="F47" s="1">
        <v>14</v>
      </c>
      <c r="G47" s="16">
        <f t="shared" si="0"/>
        <v>7.7045795795795792E-3</v>
      </c>
    </row>
    <row r="48" spans="1:7" x14ac:dyDescent="0.35">
      <c r="A48" s="1">
        <v>45</v>
      </c>
      <c r="B48">
        <v>64</v>
      </c>
      <c r="C48" s="29">
        <v>0.46800925925925929</v>
      </c>
      <c r="D48" s="29">
        <f>C48-'Leg 6'!C50</f>
        <v>7.4513888888888935E-2</v>
      </c>
      <c r="E48" s="1">
        <f>VLOOKUP(B48,Registration!$B$3:$C$77,2,FALSE)</f>
        <v>10</v>
      </c>
      <c r="F48" s="1">
        <v>8</v>
      </c>
      <c r="G48" s="16">
        <f t="shared" si="0"/>
        <v>6.7129629629629674E-3</v>
      </c>
    </row>
    <row r="49" spans="1:7" x14ac:dyDescent="0.35">
      <c r="A49" s="1">
        <v>46</v>
      </c>
      <c r="B49">
        <v>14</v>
      </c>
      <c r="C49" s="29">
        <v>0.46803240740740742</v>
      </c>
      <c r="D49" s="29">
        <f>C49-'Leg 6'!C51</f>
        <v>6.981481481481483E-2</v>
      </c>
      <c r="E49" s="1">
        <f>VLOOKUP(B49,Registration!$B$3:$C$77,2,FALSE)</f>
        <v>5</v>
      </c>
      <c r="F49" s="1">
        <v>1</v>
      </c>
      <c r="G49" s="16">
        <f t="shared" si="0"/>
        <v>6.2896229562896247E-3</v>
      </c>
    </row>
    <row r="50" spans="1:7" x14ac:dyDescent="0.35">
      <c r="A50" s="1">
        <v>47</v>
      </c>
      <c r="B50">
        <v>3</v>
      </c>
      <c r="C50" s="29">
        <v>0.47332175925925929</v>
      </c>
      <c r="D50" s="29">
        <f>C50-'Leg 6'!C54</f>
        <v>6.4479166666666643E-2</v>
      </c>
      <c r="E50" s="1">
        <f>VLOOKUP(B50,Registration!$B$3:$C$77,2,FALSE)</f>
        <v>1</v>
      </c>
      <c r="F50" s="1">
        <v>8</v>
      </c>
      <c r="G50" s="16">
        <f t="shared" si="0"/>
        <v>5.8089339339339316E-3</v>
      </c>
    </row>
    <row r="51" spans="1:7" x14ac:dyDescent="0.35">
      <c r="A51" s="1">
        <v>48</v>
      </c>
      <c r="B51">
        <v>16</v>
      </c>
      <c r="C51" s="29">
        <v>0.47489583333333335</v>
      </c>
      <c r="D51" s="29">
        <f>C51-'Leg 6'!C49</f>
        <v>8.2222222222222252E-2</v>
      </c>
      <c r="E51" s="1">
        <f>VLOOKUP(B51,Registration!$B$3:$C$77,2,FALSE)</f>
        <v>6</v>
      </c>
      <c r="F51" s="1">
        <v>4</v>
      </c>
      <c r="G51" s="16">
        <f t="shared" si="0"/>
        <v>7.4074074074074103E-3</v>
      </c>
    </row>
    <row r="52" spans="1:7" x14ac:dyDescent="0.35">
      <c r="A52" s="1">
        <v>49</v>
      </c>
      <c r="B52">
        <v>40</v>
      </c>
      <c r="C52" s="29">
        <v>0.47667824074074078</v>
      </c>
      <c r="D52" s="29">
        <f>C52-'Leg 6'!C53</f>
        <v>6.9363425925925926E-2</v>
      </c>
      <c r="E52" s="1">
        <f>VLOOKUP(B52,Registration!$B$3:$C$77,2,FALSE)</f>
        <v>8</v>
      </c>
      <c r="F52" s="1">
        <v>15</v>
      </c>
      <c r="G52" s="16">
        <f t="shared" si="0"/>
        <v>6.2489572906239575E-3</v>
      </c>
    </row>
    <row r="53" spans="1:7" x14ac:dyDescent="0.35">
      <c r="A53" s="1">
        <v>50</v>
      </c>
      <c r="B53">
        <v>50</v>
      </c>
      <c r="C53" s="29">
        <v>0.47820601851851857</v>
      </c>
      <c r="D53" s="29">
        <f>C53-'Leg 6'!C48</f>
        <v>8.5740740740740784E-2</v>
      </c>
      <c r="E53" s="1">
        <f>VLOOKUP(B53,Registration!$B$3:$C$77,2,FALSE)</f>
        <v>9</v>
      </c>
      <c r="F53" s="1">
        <v>6</v>
      </c>
      <c r="G53" s="16">
        <f t="shared" si="0"/>
        <v>7.7243910577243953E-3</v>
      </c>
    </row>
    <row r="54" spans="1:7" x14ac:dyDescent="0.35">
      <c r="A54" s="1">
        <v>51</v>
      </c>
      <c r="B54">
        <v>51</v>
      </c>
      <c r="C54" s="29">
        <v>0.47828703703703707</v>
      </c>
      <c r="D54" s="29">
        <f>C54-'Leg 6'!C55</f>
        <v>6.8900462962962983E-2</v>
      </c>
      <c r="E54" s="1">
        <f>VLOOKUP(B54,Registration!$B$3:$C$77,2,FALSE)</f>
        <v>9</v>
      </c>
      <c r="F54" s="1">
        <v>7</v>
      </c>
      <c r="G54" s="16">
        <f t="shared" si="0"/>
        <v>6.2072489155822509E-3</v>
      </c>
    </row>
    <row r="55" spans="1:7" x14ac:dyDescent="0.35">
      <c r="A55" s="1">
        <v>52</v>
      </c>
      <c r="B55">
        <v>12</v>
      </c>
      <c r="C55" s="29">
        <v>0.48598379629629629</v>
      </c>
      <c r="D55" s="29">
        <f>C55-'Leg 6'!C52</f>
        <v>8.3136574074074099E-2</v>
      </c>
      <c r="E55" s="1">
        <f>VLOOKUP(B55,Registration!$B$3:$C$77,2,FALSE)</f>
        <v>1</v>
      </c>
      <c r="F55" s="1">
        <v>9</v>
      </c>
      <c r="G55" s="16">
        <f t="shared" si="0"/>
        <v>7.489781448114784E-3</v>
      </c>
    </row>
    <row r="56" spans="1:7" x14ac:dyDescent="0.35">
      <c r="A56" s="1">
        <v>53</v>
      </c>
      <c r="B56">
        <v>36</v>
      </c>
      <c r="C56" s="29">
        <v>0.48765046296296299</v>
      </c>
      <c r="D56" s="29">
        <f>C56-'Leg 6'!C56</f>
        <v>7.1886574074074117E-2</v>
      </c>
      <c r="E56" s="1">
        <f>VLOOKUP(B56,Registration!$B$3:$C$77,2,FALSE)</f>
        <v>8</v>
      </c>
      <c r="F56" s="1">
        <v>16</v>
      </c>
      <c r="G56" s="16">
        <f t="shared" si="0"/>
        <v>6.4762679346012722E-3</v>
      </c>
    </row>
    <row r="57" spans="1:7" x14ac:dyDescent="0.35">
      <c r="A57" s="1">
        <v>54</v>
      </c>
      <c r="B57">
        <v>60</v>
      </c>
      <c r="C57" s="29">
        <v>0.49201388888888892</v>
      </c>
      <c r="D57" s="29">
        <f>C57-'Leg 6'!C57</f>
        <v>7.604166666666673E-2</v>
      </c>
      <c r="E57" s="1">
        <f>VLOOKUP(B57,Registration!$B$3:$C$77,2,FALSE)</f>
        <v>10</v>
      </c>
      <c r="F57" s="1">
        <v>9</v>
      </c>
      <c r="G57" s="16">
        <f t="shared" si="0"/>
        <v>6.8506006006006067E-3</v>
      </c>
    </row>
    <row r="58" spans="1:7" x14ac:dyDescent="0.35">
      <c r="A58" s="1">
        <v>55</v>
      </c>
      <c r="B58">
        <v>13</v>
      </c>
      <c r="C58" s="29">
        <v>0.50749999999999995</v>
      </c>
      <c r="D58" s="29">
        <f>C58-'Leg 6'!C60</f>
        <v>7.2662037037036942E-2</v>
      </c>
      <c r="E58" s="1">
        <f>VLOOKUP(B58,Registration!$B$3:$C$77,2,FALSE)</f>
        <v>4</v>
      </c>
      <c r="F58" s="1">
        <v>1</v>
      </c>
      <c r="G58" s="16">
        <f t="shared" si="0"/>
        <v>6.5461294627961212E-3</v>
      </c>
    </row>
    <row r="59" spans="1:7" x14ac:dyDescent="0.35">
      <c r="A59" s="1">
        <v>56</v>
      </c>
      <c r="B59">
        <v>27</v>
      </c>
      <c r="C59" s="29">
        <v>0.50769675925925928</v>
      </c>
      <c r="D59" s="29">
        <f>C59-'Leg 6'!C61</f>
        <v>6.4583333333333326E-2</v>
      </c>
      <c r="E59" s="1">
        <f>VLOOKUP(B59,Registration!$B$3:$C$77,2,FALSE)</f>
        <v>7</v>
      </c>
      <c r="F59" s="1">
        <v>5</v>
      </c>
      <c r="G59" s="16">
        <f t="shared" si="0"/>
        <v>5.8183183183183182E-3</v>
      </c>
    </row>
    <row r="60" spans="1:7" x14ac:dyDescent="0.35">
      <c r="A60" s="1">
        <v>57</v>
      </c>
      <c r="B60">
        <v>28</v>
      </c>
      <c r="C60" s="29">
        <v>0.50876157407407407</v>
      </c>
      <c r="D60" s="29">
        <f>C60-'Leg 6'!C59</f>
        <v>7.7974537037037051E-2</v>
      </c>
      <c r="E60" s="1">
        <f>VLOOKUP(B60,Registration!$B$3:$C$77,2,FALSE)</f>
        <v>7</v>
      </c>
      <c r="F60" s="1">
        <v>6</v>
      </c>
      <c r="G60" s="16">
        <f t="shared" si="0"/>
        <v>7.0247330663997347E-3</v>
      </c>
    </row>
    <row r="61" spans="1:7" x14ac:dyDescent="0.35">
      <c r="A61" s="1">
        <v>58</v>
      </c>
      <c r="B61">
        <v>38</v>
      </c>
      <c r="C61" s="29">
        <v>0.51682870370370371</v>
      </c>
      <c r="D61" s="29">
        <f>C61-'Leg 6'!C62</f>
        <v>7.3483796296296311E-2</v>
      </c>
      <c r="E61" s="1">
        <f>VLOOKUP(B61,Registration!$B$3:$C$77,2,FALSE)</f>
        <v>8</v>
      </c>
      <c r="F61" s="1">
        <v>17</v>
      </c>
      <c r="G61" s="16">
        <f t="shared" si="0"/>
        <v>6.6201618284951634E-3</v>
      </c>
    </row>
    <row r="62" spans="1:7" x14ac:dyDescent="0.35">
      <c r="A62" s="1">
        <v>59</v>
      </c>
      <c r="B62">
        <v>52</v>
      </c>
      <c r="C62" s="29">
        <v>0.51820601851851855</v>
      </c>
      <c r="D62" s="29">
        <f>C62-'Leg 6'!C63</f>
        <v>7.1087962962962992E-2</v>
      </c>
      <c r="E62" s="1">
        <f>VLOOKUP(B62,Registration!$B$3:$C$77,2,FALSE)</f>
        <v>9</v>
      </c>
      <c r="F62" s="1">
        <v>8</v>
      </c>
      <c r="G62" s="16">
        <f t="shared" si="0"/>
        <v>6.4043209876543236E-3</v>
      </c>
    </row>
    <row r="63" spans="1:7" x14ac:dyDescent="0.35">
      <c r="A63" s="1">
        <v>60</v>
      </c>
      <c r="B63">
        <v>54</v>
      </c>
      <c r="C63" s="29">
        <v>0.51894675925925926</v>
      </c>
      <c r="D63" s="29">
        <f>C63-'Leg 6'!C58</f>
        <v>0.10192129629629626</v>
      </c>
      <c r="E63" s="1">
        <f>VLOOKUP(B63,Registration!$B$3:$C$77,2,FALSE)</f>
        <v>9</v>
      </c>
      <c r="F63" s="1">
        <v>9</v>
      </c>
      <c r="G63" s="16">
        <f t="shared" si="0"/>
        <v>9.1820987654320958E-3</v>
      </c>
    </row>
    <row r="64" spans="1:7" x14ac:dyDescent="0.35">
      <c r="A64" s="1">
        <v>61</v>
      </c>
      <c r="B64">
        <v>55</v>
      </c>
      <c r="C64" s="29">
        <v>0.53637731481481488</v>
      </c>
      <c r="D64" s="29">
        <f>C64-'Leg 6'!C64</f>
        <v>8.8356481481481564E-2</v>
      </c>
      <c r="E64" s="1">
        <f>VLOOKUP(B64,Registration!$B$3:$C$77,2,FALSE)</f>
        <v>9</v>
      </c>
      <c r="F64" s="1">
        <v>10</v>
      </c>
      <c r="G64" s="16">
        <f t="shared" si="0"/>
        <v>7.9600433767100503E-3</v>
      </c>
    </row>
    <row r="65" spans="1:7" x14ac:dyDescent="0.35">
      <c r="A65" s="1">
        <v>62</v>
      </c>
      <c r="B65">
        <v>69</v>
      </c>
      <c r="C65" s="29">
        <v>0.54068287037037044</v>
      </c>
      <c r="D65" s="29">
        <f>C65-'Leg 6'!C65</f>
        <v>8.9537037037037082E-2</v>
      </c>
      <c r="E65" s="1">
        <f>VLOOKUP(B65,Registration!$B$3:$C$77,2,FALSE)</f>
        <v>10</v>
      </c>
      <c r="F65" s="1">
        <v>10</v>
      </c>
      <c r="G65" s="16">
        <f t="shared" si="0"/>
        <v>8.0663997330664046E-3</v>
      </c>
    </row>
    <row r="66" spans="1:7" x14ac:dyDescent="0.35">
      <c r="A66" s="1">
        <v>63</v>
      </c>
      <c r="B66">
        <v>26</v>
      </c>
      <c r="C66" s="29">
        <v>0.55287037037037035</v>
      </c>
      <c r="D66" s="29">
        <f>C66-'Leg 6'!C66</f>
        <v>8.6307870370370354E-2</v>
      </c>
      <c r="E66" s="1">
        <f>VLOOKUP(B66,Registration!$B$3:$C$77,2,FALSE)</f>
        <v>7</v>
      </c>
      <c r="F66" s="1">
        <v>7</v>
      </c>
      <c r="G66" s="16">
        <f t="shared" si="0"/>
        <v>7.7754838171504824E-3</v>
      </c>
    </row>
    <row r="67" spans="1:7" x14ac:dyDescent="0.35">
      <c r="A67" s="1">
        <v>64</v>
      </c>
      <c r="E67" s="1"/>
      <c r="G67" s="16"/>
    </row>
    <row r="68" spans="1:7" x14ac:dyDescent="0.35">
      <c r="A68" s="1">
        <v>65</v>
      </c>
      <c r="E68" s="1"/>
      <c r="G68" s="16"/>
    </row>
    <row r="69" spans="1:7" x14ac:dyDescent="0.35">
      <c r="E69" s="1"/>
      <c r="G69" s="16"/>
    </row>
    <row r="70" spans="1:7" x14ac:dyDescent="0.35">
      <c r="B70">
        <v>23</v>
      </c>
      <c r="C70" s="29" t="s">
        <v>85</v>
      </c>
      <c r="E70" s="1"/>
    </row>
    <row r="71" spans="1:7" x14ac:dyDescent="0.35">
      <c r="B71">
        <v>66</v>
      </c>
      <c r="C71" s="29" t="s">
        <v>85</v>
      </c>
      <c r="E71" s="1"/>
    </row>
    <row r="72" spans="1:7" x14ac:dyDescent="0.35">
      <c r="B72">
        <v>67</v>
      </c>
      <c r="C72" s="29" t="s">
        <v>85</v>
      </c>
      <c r="E72" s="1"/>
    </row>
    <row r="73" spans="1:7" x14ac:dyDescent="0.35">
      <c r="E73" s="1"/>
    </row>
    <row r="74" spans="1:7" x14ac:dyDescent="0.35">
      <c r="E74" s="1"/>
    </row>
    <row r="75" spans="1:7" x14ac:dyDescent="0.35">
      <c r="E75" s="1"/>
    </row>
    <row r="76" spans="1:7" x14ac:dyDescent="0.35">
      <c r="E76" s="1"/>
    </row>
    <row r="77" spans="1:7" x14ac:dyDescent="0.35">
      <c r="E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Registration</vt:lpstr>
      <vt:lpstr>Div Sorted Results</vt:lpstr>
      <vt:lpstr>Leg 1</vt:lpstr>
      <vt:lpstr>leg 2</vt:lpstr>
      <vt:lpstr>Leg 3</vt:lpstr>
      <vt:lpstr>Leg 4</vt:lpstr>
      <vt:lpstr>Leg 5</vt:lpstr>
      <vt:lpstr>Leg 6</vt:lpstr>
      <vt:lpstr>Leg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</dc:creator>
  <cp:lastModifiedBy>Sean Sweeney</cp:lastModifiedBy>
  <cp:lastPrinted>2017-06-06T18:28:18Z</cp:lastPrinted>
  <dcterms:created xsi:type="dcterms:W3CDTF">2017-05-31T18:17:02Z</dcterms:created>
  <dcterms:modified xsi:type="dcterms:W3CDTF">2017-06-15T21:51:41Z</dcterms:modified>
</cp:coreProperties>
</file>