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/>
  <mc:AlternateContent xmlns:mc="http://schemas.openxmlformats.org/markup-compatibility/2006">
    <mc:Choice Requires="x15">
      <x15ac:absPath xmlns:x15ac="http://schemas.microsoft.com/office/spreadsheetml/2010/11/ac" url="C:\Users\Sean Sweeney\Documents\DeCelle\2018\"/>
    </mc:Choice>
  </mc:AlternateContent>
  <xr:revisionPtr revIDLastSave="0" documentId="8_{33043508-CEDA-4AAE-BD23-CBE0E2A95A47}" xr6:coauthVersionLast="33" xr6:coauthVersionMax="33" xr10:uidLastSave="{00000000-0000-0000-0000-000000000000}"/>
  <bookViews>
    <workbookView xWindow="0" yWindow="0" windowWidth="21600" windowHeight="10070" activeTab="1" xr2:uid="{00000000-000D-0000-FFFF-FFFF00000000}"/>
  </bookViews>
  <sheets>
    <sheet name="Registration" sheetId="2" r:id="rId1"/>
    <sheet name="Totals Sorted" sheetId="12" r:id="rId2"/>
    <sheet name="Div Sorted Results" sheetId="11" r:id="rId3"/>
    <sheet name="Leg 1" sheetId="1" r:id="rId4"/>
    <sheet name="leg 2" sheetId="3" r:id="rId5"/>
    <sheet name="Leg 3" sheetId="4" r:id="rId6"/>
    <sheet name="Leg 4" sheetId="5" r:id="rId7"/>
    <sheet name="Leg 5" sheetId="6" r:id="rId8"/>
    <sheet name="Leg 6" sheetId="7" r:id="rId9"/>
    <sheet name="Leg 7" sheetId="8" r:id="rId10"/>
  </sheets>
  <calcPr calcId="17901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6" i="12" l="1"/>
  <c r="O10" i="12"/>
  <c r="O12" i="12"/>
  <c r="O8" i="12"/>
  <c r="O11" i="12"/>
  <c r="O5" i="12"/>
  <c r="O7" i="12"/>
  <c r="O13" i="12"/>
  <c r="O15" i="12"/>
  <c r="O14" i="12"/>
  <c r="O16" i="12"/>
  <c r="O50" i="12"/>
  <c r="O46" i="12"/>
  <c r="O49" i="12"/>
  <c r="O17" i="12"/>
  <c r="O48" i="12"/>
  <c r="O47" i="12"/>
  <c r="O45" i="12"/>
  <c r="O40" i="12"/>
  <c r="O23" i="12"/>
  <c r="O22" i="12"/>
  <c r="O20" i="12"/>
  <c r="O35" i="12"/>
  <c r="O28" i="12"/>
  <c r="O33" i="12"/>
  <c r="O30" i="12"/>
  <c r="O27" i="12"/>
  <c r="O31" i="12"/>
  <c r="O26" i="12"/>
  <c r="O24" i="12"/>
  <c r="O32" i="12"/>
  <c r="O19" i="12"/>
  <c r="O29" i="12"/>
  <c r="O25" i="12"/>
  <c r="O44" i="12"/>
  <c r="O41" i="12"/>
  <c r="O37" i="12"/>
  <c r="O21" i="12"/>
  <c r="O34" i="12"/>
  <c r="O42" i="12"/>
  <c r="O38" i="12"/>
  <c r="O43" i="12"/>
  <c r="O36" i="12"/>
  <c r="O18" i="12"/>
  <c r="O39" i="12"/>
  <c r="O9" i="12"/>
  <c r="O55" i="12"/>
  <c r="O51" i="12"/>
  <c r="O52" i="12"/>
  <c r="O53" i="12"/>
  <c r="O54" i="12"/>
  <c r="O56" i="12"/>
  <c r="O63" i="12"/>
  <c r="O59" i="12"/>
  <c r="O60" i="12"/>
  <c r="O61" i="12"/>
  <c r="O57" i="12"/>
  <c r="O58" i="12"/>
  <c r="O62" i="12"/>
  <c r="O65" i="12"/>
  <c r="O68" i="12"/>
  <c r="O67" i="12"/>
  <c r="O69" i="12"/>
  <c r="O70" i="12"/>
  <c r="O66" i="12"/>
  <c r="O4" i="12"/>
  <c r="M19" i="12"/>
  <c r="M6" i="12"/>
  <c r="M12" i="12"/>
  <c r="M8" i="12"/>
  <c r="M11" i="12"/>
  <c r="M5" i="12"/>
  <c r="M7" i="12"/>
  <c r="M13" i="12"/>
  <c r="M15" i="12"/>
  <c r="M14" i="12"/>
  <c r="M16" i="12"/>
  <c r="M50" i="12"/>
  <c r="M46" i="12"/>
  <c r="M49" i="12"/>
  <c r="M17" i="12"/>
  <c r="M48" i="12"/>
  <c r="M47" i="12"/>
  <c r="M45" i="12"/>
  <c r="M40" i="12"/>
  <c r="M23" i="12"/>
  <c r="M22" i="12"/>
  <c r="M20" i="12"/>
  <c r="M35" i="12"/>
  <c r="M28" i="12"/>
  <c r="M33" i="12"/>
  <c r="M30" i="12"/>
  <c r="M27" i="12"/>
  <c r="M31" i="12"/>
  <c r="M26" i="12"/>
  <c r="M24" i="12"/>
  <c r="M32" i="12"/>
  <c r="M29" i="12"/>
  <c r="M25" i="12"/>
  <c r="M44" i="12"/>
  <c r="M41" i="12"/>
  <c r="M37" i="12"/>
  <c r="M21" i="12"/>
  <c r="M34" i="12"/>
  <c r="M42" i="12"/>
  <c r="M38" i="12"/>
  <c r="M43" i="12"/>
  <c r="M36" i="12"/>
  <c r="M18" i="12"/>
  <c r="M39" i="12"/>
  <c r="M9" i="12"/>
  <c r="M55" i="12"/>
  <c r="M51" i="12"/>
  <c r="M52" i="12"/>
  <c r="M53" i="12"/>
  <c r="M54" i="12"/>
  <c r="M56" i="12"/>
  <c r="M63" i="12"/>
  <c r="M59" i="12"/>
  <c r="M60" i="12"/>
  <c r="M61" i="12"/>
  <c r="M57" i="12"/>
  <c r="M58" i="12"/>
  <c r="M62" i="12"/>
  <c r="M65" i="12"/>
  <c r="M68" i="12"/>
  <c r="M67" i="12"/>
  <c r="M69" i="12"/>
  <c r="M70" i="12"/>
  <c r="M66" i="12"/>
  <c r="M4" i="12"/>
  <c r="K6" i="12"/>
  <c r="K12" i="12"/>
  <c r="K8" i="12"/>
  <c r="K11" i="12"/>
  <c r="K5" i="12"/>
  <c r="K7" i="12"/>
  <c r="K13" i="12"/>
  <c r="K15" i="12"/>
  <c r="K14" i="12"/>
  <c r="K16" i="12"/>
  <c r="K50" i="12"/>
  <c r="K46" i="12"/>
  <c r="K49" i="12"/>
  <c r="K17" i="12"/>
  <c r="K48" i="12"/>
  <c r="K47" i="12"/>
  <c r="K45" i="12"/>
  <c r="K40" i="12"/>
  <c r="K23" i="12"/>
  <c r="K22" i="12"/>
  <c r="K20" i="12"/>
  <c r="K35" i="12"/>
  <c r="K28" i="12"/>
  <c r="K33" i="12"/>
  <c r="K30" i="12"/>
  <c r="K27" i="12"/>
  <c r="K31" i="12"/>
  <c r="K26" i="12"/>
  <c r="K24" i="12"/>
  <c r="K32" i="12"/>
  <c r="K19" i="12"/>
  <c r="K29" i="12"/>
  <c r="K25" i="12"/>
  <c r="K44" i="12"/>
  <c r="K41" i="12"/>
  <c r="K37" i="12"/>
  <c r="K21" i="12"/>
  <c r="K34" i="12"/>
  <c r="K42" i="12"/>
  <c r="K38" i="12"/>
  <c r="K43" i="12"/>
  <c r="K36" i="12"/>
  <c r="K18" i="12"/>
  <c r="K39" i="12"/>
  <c r="K9" i="12"/>
  <c r="K55" i="12"/>
  <c r="K51" i="12"/>
  <c r="K52" i="12"/>
  <c r="K53" i="12"/>
  <c r="K54" i="12"/>
  <c r="K56" i="12"/>
  <c r="K63" i="12"/>
  <c r="K59" i="12"/>
  <c r="K60" i="12"/>
  <c r="K61" i="12"/>
  <c r="K57" i="12"/>
  <c r="K58" i="12"/>
  <c r="K62" i="12"/>
  <c r="K65" i="12"/>
  <c r="K68" i="12"/>
  <c r="K67" i="12"/>
  <c r="K69" i="12"/>
  <c r="K70" i="12"/>
  <c r="K66" i="12"/>
  <c r="K4" i="12"/>
  <c r="I6" i="12"/>
  <c r="I10" i="12"/>
  <c r="I12" i="12"/>
  <c r="I8" i="12"/>
  <c r="I11" i="12"/>
  <c r="I5" i="12"/>
  <c r="I7" i="12"/>
  <c r="I13" i="12"/>
  <c r="I15" i="12"/>
  <c r="I14" i="12"/>
  <c r="I16" i="12"/>
  <c r="I50" i="12"/>
  <c r="I46" i="12"/>
  <c r="I49" i="12"/>
  <c r="I17" i="12"/>
  <c r="I48" i="12"/>
  <c r="I47" i="12"/>
  <c r="I45" i="12"/>
  <c r="I40" i="12"/>
  <c r="I23" i="12"/>
  <c r="I22" i="12"/>
  <c r="I20" i="12"/>
  <c r="I35" i="12"/>
  <c r="I28" i="12"/>
  <c r="I33" i="12"/>
  <c r="I30" i="12"/>
  <c r="I27" i="12"/>
  <c r="I31" i="12"/>
  <c r="I26" i="12"/>
  <c r="I24" i="12"/>
  <c r="I32" i="12"/>
  <c r="I19" i="12"/>
  <c r="I29" i="12"/>
  <c r="I25" i="12"/>
  <c r="I44" i="12"/>
  <c r="I41" i="12"/>
  <c r="I37" i="12"/>
  <c r="I21" i="12"/>
  <c r="I34" i="12"/>
  <c r="I42" i="12"/>
  <c r="I38" i="12"/>
  <c r="I43" i="12"/>
  <c r="I36" i="12"/>
  <c r="I18" i="12"/>
  <c r="I39" i="12"/>
  <c r="I9" i="12"/>
  <c r="I55" i="12"/>
  <c r="I51" i="12"/>
  <c r="I52" i="12"/>
  <c r="I53" i="12"/>
  <c r="I54" i="12"/>
  <c r="I64" i="12"/>
  <c r="I56" i="12"/>
  <c r="I63" i="12"/>
  <c r="I59" i="12"/>
  <c r="I60" i="12"/>
  <c r="I61" i="12"/>
  <c r="I57" i="12"/>
  <c r="I58" i="12"/>
  <c r="I62" i="12"/>
  <c r="I65" i="12"/>
  <c r="I68" i="12"/>
  <c r="I67" i="12"/>
  <c r="I69" i="12"/>
  <c r="I70" i="12"/>
  <c r="I66" i="12"/>
  <c r="I4" i="12"/>
  <c r="G39" i="12"/>
  <c r="G6" i="12"/>
  <c r="G12" i="12"/>
  <c r="G8" i="12"/>
  <c r="G11" i="12"/>
  <c r="G5" i="12"/>
  <c r="G7" i="12"/>
  <c r="G13" i="12"/>
  <c r="G15" i="12"/>
  <c r="G14" i="12"/>
  <c r="G16" i="12"/>
  <c r="G50" i="12"/>
  <c r="G46" i="12"/>
  <c r="G49" i="12"/>
  <c r="G17" i="12"/>
  <c r="G48" i="12"/>
  <c r="G47" i="12"/>
  <c r="G45" i="12"/>
  <c r="G40" i="12"/>
  <c r="G23" i="12"/>
  <c r="G22" i="12"/>
  <c r="G20" i="12"/>
  <c r="G35" i="12"/>
  <c r="G28" i="12"/>
  <c r="G33" i="12"/>
  <c r="G30" i="12"/>
  <c r="G27" i="12"/>
  <c r="G31" i="12"/>
  <c r="G26" i="12"/>
  <c r="G24" i="12"/>
  <c r="G32" i="12"/>
  <c r="G19" i="12"/>
  <c r="G29" i="12"/>
  <c r="G25" i="12"/>
  <c r="G44" i="12"/>
  <c r="G41" i="12"/>
  <c r="G37" i="12"/>
  <c r="G21" i="12"/>
  <c r="G34" i="12"/>
  <c r="G42" i="12"/>
  <c r="G38" i="12"/>
  <c r="G43" i="12"/>
  <c r="G36" i="12"/>
  <c r="G18" i="12"/>
  <c r="G9" i="12"/>
  <c r="G55" i="12"/>
  <c r="G51" i="12"/>
  <c r="G52" i="12"/>
  <c r="G53" i="12"/>
  <c r="G54" i="12"/>
  <c r="G64" i="12"/>
  <c r="G56" i="12"/>
  <c r="G63" i="12"/>
  <c r="G59" i="12"/>
  <c r="G60" i="12"/>
  <c r="G61" i="12"/>
  <c r="G57" i="12"/>
  <c r="G58" i="12"/>
  <c r="G62" i="12"/>
  <c r="G65" i="12"/>
  <c r="G67" i="12"/>
  <c r="G69" i="12"/>
  <c r="G70" i="12"/>
  <c r="G66" i="12"/>
  <c r="G4" i="12"/>
  <c r="E6" i="12"/>
  <c r="E10" i="12"/>
  <c r="E12" i="12"/>
  <c r="E8" i="12"/>
  <c r="E11" i="12"/>
  <c r="E5" i="12"/>
  <c r="E7" i="12"/>
  <c r="E13" i="12"/>
  <c r="E15" i="12"/>
  <c r="E14" i="12"/>
  <c r="E46" i="12"/>
  <c r="E49" i="12"/>
  <c r="E17" i="12"/>
  <c r="E48" i="12"/>
  <c r="E47" i="12"/>
  <c r="E45" i="12"/>
  <c r="E40" i="12"/>
  <c r="E23" i="12"/>
  <c r="E22" i="12"/>
  <c r="E20" i="12"/>
  <c r="E35" i="12"/>
  <c r="E28" i="12"/>
  <c r="E33" i="12"/>
  <c r="E30" i="12"/>
  <c r="E27" i="12"/>
  <c r="E31" i="12"/>
  <c r="E26" i="12"/>
  <c r="E24" i="12"/>
  <c r="E32" i="12"/>
  <c r="E19" i="12"/>
  <c r="E29" i="12"/>
  <c r="E25" i="12"/>
  <c r="E44" i="12"/>
  <c r="E41" i="12"/>
  <c r="E21" i="12"/>
  <c r="E34" i="12"/>
  <c r="E42" i="12"/>
  <c r="E43" i="12"/>
  <c r="E36" i="12"/>
  <c r="E18" i="12"/>
  <c r="E9" i="12"/>
  <c r="E55" i="12"/>
  <c r="E51" i="12"/>
  <c r="E52" i="12"/>
  <c r="E53" i="12"/>
  <c r="E54" i="12"/>
  <c r="E64" i="12"/>
  <c r="E56" i="12"/>
  <c r="E59" i="12"/>
  <c r="E60" i="12"/>
  <c r="E61" i="12"/>
  <c r="E57" i="12"/>
  <c r="E58" i="12"/>
  <c r="E62" i="12"/>
  <c r="E65" i="12"/>
  <c r="E68" i="12"/>
  <c r="E67" i="12"/>
  <c r="E69" i="12"/>
  <c r="E70" i="12"/>
  <c r="E66" i="12"/>
  <c r="E4" i="12"/>
  <c r="B66" i="12"/>
  <c r="B70" i="12"/>
  <c r="B69" i="12"/>
  <c r="B67" i="12"/>
  <c r="B68" i="12"/>
  <c r="B65" i="12"/>
  <c r="B62" i="12"/>
  <c r="B58" i="12"/>
  <c r="B57" i="12"/>
  <c r="B61" i="12"/>
  <c r="B60" i="12"/>
  <c r="B59" i="12"/>
  <c r="B56" i="12"/>
  <c r="B64" i="12"/>
  <c r="B54" i="12"/>
  <c r="B53" i="12"/>
  <c r="B52" i="12"/>
  <c r="B51" i="12"/>
  <c r="B55" i="12"/>
  <c r="B9" i="12"/>
  <c r="B18" i="12"/>
  <c r="B36" i="12"/>
  <c r="B43" i="12"/>
  <c r="B42" i="12"/>
  <c r="B34" i="12"/>
  <c r="B21" i="12"/>
  <c r="B41" i="12"/>
  <c r="B44" i="12"/>
  <c r="B25" i="12"/>
  <c r="B29" i="12"/>
  <c r="B19" i="12"/>
  <c r="B32" i="12"/>
  <c r="B24" i="12"/>
  <c r="B26" i="12"/>
  <c r="B31" i="12"/>
  <c r="B27" i="12"/>
  <c r="B30" i="12"/>
  <c r="B33" i="12"/>
  <c r="B28" i="12"/>
  <c r="B35" i="12"/>
  <c r="B20" i="12"/>
  <c r="B22" i="12"/>
  <c r="B23" i="12"/>
  <c r="B40" i="12"/>
  <c r="B45" i="12"/>
  <c r="B47" i="12"/>
  <c r="B48" i="12"/>
  <c r="B17" i="12"/>
  <c r="B49" i="12"/>
  <c r="B46" i="12"/>
  <c r="B14" i="12"/>
  <c r="B15" i="12"/>
  <c r="B13" i="12"/>
  <c r="B7" i="12"/>
  <c r="B5" i="12"/>
  <c r="B11" i="12"/>
  <c r="B8" i="12"/>
  <c r="B12" i="12"/>
  <c r="B10" i="12"/>
  <c r="B6" i="12"/>
  <c r="B4" i="12"/>
  <c r="M51" i="5"/>
  <c r="O51" i="5"/>
  <c r="N51" i="5"/>
  <c r="M64" i="5"/>
  <c r="O64" i="5"/>
  <c r="N64" i="5"/>
  <c r="M39" i="5"/>
  <c r="O39" i="5"/>
  <c r="N39" i="5"/>
  <c r="M49" i="5"/>
  <c r="O49" i="5"/>
  <c r="N49" i="5"/>
  <c r="M65" i="5"/>
  <c r="O65" i="5"/>
  <c r="N65" i="5"/>
  <c r="M40" i="5"/>
  <c r="O40" i="5"/>
  <c r="N40" i="5"/>
  <c r="M7" i="5"/>
  <c r="O7" i="5"/>
  <c r="N7" i="5"/>
  <c r="M44" i="5"/>
  <c r="O44" i="5"/>
  <c r="N44" i="5"/>
  <c r="M46" i="5"/>
  <c r="O46" i="5"/>
  <c r="N46" i="5"/>
  <c r="M16" i="5"/>
  <c r="O16" i="5"/>
  <c r="N16" i="5"/>
  <c r="M9" i="5"/>
  <c r="O9" i="5"/>
  <c r="N9" i="5"/>
  <c r="M58" i="5"/>
  <c r="O58" i="5"/>
  <c r="N58" i="5"/>
  <c r="M18" i="5"/>
  <c r="O18" i="5"/>
  <c r="N18" i="5"/>
  <c r="M23" i="5"/>
  <c r="O23" i="5"/>
  <c r="N23" i="5"/>
  <c r="M61" i="5"/>
  <c r="O61" i="5"/>
  <c r="N61" i="5"/>
  <c r="M45" i="5"/>
  <c r="O45" i="5"/>
  <c r="N45" i="5"/>
  <c r="M47" i="5"/>
  <c r="O47" i="5"/>
  <c r="N47" i="5"/>
  <c r="M53" i="5"/>
  <c r="O53" i="5"/>
  <c r="N53" i="5"/>
  <c r="M41" i="5"/>
  <c r="O41" i="5"/>
  <c r="N41" i="5"/>
  <c r="M43" i="5"/>
  <c r="O43" i="5"/>
  <c r="N43" i="5"/>
  <c r="M27" i="5"/>
  <c r="O27" i="5"/>
  <c r="N27" i="5"/>
  <c r="M63" i="5"/>
  <c r="O63" i="5"/>
  <c r="N63" i="5"/>
  <c r="M32" i="5"/>
  <c r="O32" i="5"/>
  <c r="N32" i="5"/>
  <c r="M55" i="5"/>
  <c r="O55" i="5"/>
  <c r="N55" i="5"/>
  <c r="M54" i="5"/>
  <c r="O54" i="5"/>
  <c r="N54" i="5"/>
  <c r="M29" i="5"/>
  <c r="O29" i="5"/>
  <c r="N29" i="5"/>
  <c r="M6" i="5"/>
  <c r="O6" i="5"/>
  <c r="N6" i="5"/>
  <c r="M28" i="5"/>
  <c r="O28" i="5"/>
  <c r="N28" i="5"/>
  <c r="M37" i="5"/>
  <c r="O37" i="5"/>
  <c r="N37" i="5"/>
  <c r="M30" i="5"/>
  <c r="O30" i="5"/>
  <c r="N30" i="5"/>
  <c r="M38" i="5"/>
  <c r="O38" i="5"/>
  <c r="N38" i="5"/>
  <c r="M15" i="5"/>
  <c r="O15" i="5"/>
  <c r="N15" i="5"/>
  <c r="M59" i="5"/>
  <c r="O59" i="5"/>
  <c r="N59" i="5"/>
  <c r="M33" i="5"/>
  <c r="O33" i="5"/>
  <c r="N33" i="5"/>
  <c r="M56" i="5"/>
  <c r="O56" i="5"/>
  <c r="N56" i="5"/>
  <c r="M62" i="5"/>
  <c r="O62" i="5"/>
  <c r="N62" i="5"/>
  <c r="M20" i="5"/>
  <c r="O20" i="5"/>
  <c r="N20" i="5"/>
  <c r="M35" i="5"/>
  <c r="O35" i="5"/>
  <c r="N35" i="5"/>
  <c r="M31" i="5"/>
  <c r="O31" i="5"/>
  <c r="N31" i="5"/>
  <c r="M13" i="5"/>
  <c r="O13" i="5"/>
  <c r="N13" i="5"/>
  <c r="M14" i="5"/>
  <c r="O14" i="5"/>
  <c r="N14" i="5"/>
  <c r="M34" i="5"/>
  <c r="O34" i="5"/>
  <c r="N34" i="5"/>
  <c r="M60" i="5"/>
  <c r="O60" i="5"/>
  <c r="N60" i="5"/>
  <c r="M24" i="5"/>
  <c r="O24" i="5"/>
  <c r="N24" i="5"/>
  <c r="M69" i="5"/>
  <c r="O69" i="5"/>
  <c r="N69" i="5"/>
  <c r="M25" i="5"/>
  <c r="O25" i="5"/>
  <c r="N25" i="5"/>
  <c r="M22" i="5"/>
  <c r="O22" i="5"/>
  <c r="N22" i="5"/>
  <c r="M42" i="5"/>
  <c r="O42" i="5"/>
  <c r="N42" i="5"/>
  <c r="M52" i="5"/>
  <c r="O52" i="5"/>
  <c r="N52" i="5"/>
  <c r="M57" i="5"/>
  <c r="O57" i="5"/>
  <c r="N57" i="5"/>
  <c r="M50" i="5"/>
  <c r="O50" i="5"/>
  <c r="N50" i="5"/>
  <c r="M66" i="5"/>
  <c r="O66" i="5"/>
  <c r="N66" i="5"/>
  <c r="M26" i="5"/>
  <c r="O26" i="5"/>
  <c r="N26" i="5"/>
  <c r="M36" i="5"/>
  <c r="O36" i="5"/>
  <c r="N36" i="5"/>
  <c r="M68" i="5"/>
  <c r="O68" i="5"/>
  <c r="N68" i="5"/>
  <c r="M67" i="5"/>
  <c r="O67" i="5"/>
  <c r="N67" i="5"/>
  <c r="M21" i="5"/>
  <c r="O21" i="5"/>
  <c r="N21" i="5"/>
  <c r="M48" i="5"/>
  <c r="O48" i="5"/>
  <c r="N48" i="5"/>
  <c r="M17" i="5"/>
  <c r="O17" i="5"/>
  <c r="N17" i="5"/>
  <c r="M8" i="5"/>
  <c r="O8" i="5"/>
  <c r="N8" i="5"/>
  <c r="M19" i="5"/>
  <c r="O19" i="5"/>
  <c r="N19" i="5"/>
  <c r="M12" i="5"/>
  <c r="O12" i="5"/>
  <c r="N12" i="5"/>
  <c r="M70" i="5"/>
  <c r="O70" i="5"/>
  <c r="N70" i="5"/>
  <c r="M11" i="5"/>
  <c r="O11" i="5"/>
  <c r="N11" i="5"/>
  <c r="M5" i="5"/>
  <c r="O5" i="5"/>
  <c r="N5" i="5"/>
  <c r="M10" i="5"/>
  <c r="O10" i="5"/>
  <c r="N10" i="5"/>
  <c r="M4" i="5"/>
  <c r="O4" i="5"/>
  <c r="N4" i="5"/>
  <c r="E53" i="7"/>
  <c r="F39" i="3"/>
  <c r="F51" i="3"/>
  <c r="F46" i="3"/>
  <c r="F65" i="3"/>
  <c r="F49" i="3"/>
  <c r="F64" i="3"/>
  <c r="D6" i="3"/>
  <c r="F6" i="3"/>
  <c r="D35" i="3"/>
  <c r="F35" i="3"/>
  <c r="D30" i="3"/>
  <c r="F30" i="3"/>
  <c r="D41" i="3"/>
  <c r="F41" i="3"/>
  <c r="D47" i="3"/>
  <c r="F47" i="3"/>
  <c r="D32" i="3"/>
  <c r="F32" i="3"/>
  <c r="D58" i="3"/>
  <c r="F58" i="3"/>
  <c r="D56" i="3"/>
  <c r="F56" i="3"/>
  <c r="D38" i="3"/>
  <c r="F38" i="3"/>
  <c r="D27" i="3"/>
  <c r="F27" i="3"/>
  <c r="D63" i="3"/>
  <c r="F63" i="3"/>
  <c r="D45" i="3"/>
  <c r="F45" i="3"/>
  <c r="D53" i="3"/>
  <c r="F53" i="3"/>
  <c r="D59" i="3"/>
  <c r="F59" i="3"/>
  <c r="D54" i="3"/>
  <c r="F54" i="3"/>
  <c r="D29" i="3"/>
  <c r="F29" i="3"/>
  <c r="D18" i="3"/>
  <c r="F18" i="3"/>
  <c r="D23" i="3"/>
  <c r="F23" i="3"/>
  <c r="D44" i="3"/>
  <c r="F44" i="3"/>
  <c r="D9" i="3"/>
  <c r="F9" i="3"/>
  <c r="D40" i="3"/>
  <c r="F40" i="3"/>
  <c r="D7" i="3"/>
  <c r="F7" i="3"/>
  <c r="D16" i="3"/>
  <c r="F16" i="3"/>
  <c r="D26" i="3"/>
  <c r="F26" i="3"/>
  <c r="D21" i="3"/>
  <c r="F21" i="3"/>
  <c r="D57" i="3"/>
  <c r="F57" i="3"/>
  <c r="D36" i="3"/>
  <c r="F36" i="3"/>
  <c r="D66" i="3"/>
  <c r="F66" i="3"/>
  <c r="D22" i="3"/>
  <c r="F22" i="3"/>
  <c r="D52" i="3"/>
  <c r="F52" i="3"/>
  <c r="D42" i="3"/>
  <c r="F42" i="3"/>
  <c r="D24" i="3"/>
  <c r="F24" i="3"/>
  <c r="D37" i="3"/>
  <c r="F37" i="3"/>
  <c r="D14" i="3"/>
  <c r="F14" i="3"/>
  <c r="D34" i="3"/>
  <c r="F34" i="3"/>
  <c r="D55" i="3"/>
  <c r="F55" i="3"/>
  <c r="D15" i="3"/>
  <c r="F15" i="3"/>
  <c r="D28" i="3"/>
  <c r="F28" i="3"/>
  <c r="D20" i="3"/>
  <c r="F20" i="3"/>
  <c r="D13" i="3"/>
  <c r="F13" i="3"/>
  <c r="D33" i="3"/>
  <c r="F33" i="3"/>
  <c r="D60" i="3"/>
  <c r="F60" i="3"/>
  <c r="D31" i="3"/>
  <c r="F31" i="3"/>
  <c r="D62" i="3"/>
  <c r="F62" i="3"/>
  <c r="D61" i="3"/>
  <c r="F61" i="3"/>
  <c r="D43" i="3"/>
  <c r="F43" i="3"/>
  <c r="D10" i="3"/>
  <c r="F10" i="3"/>
  <c r="D11" i="3"/>
  <c r="F11" i="3"/>
  <c r="D5" i="3"/>
  <c r="F5" i="3"/>
  <c r="D70" i="3"/>
  <c r="F70" i="3"/>
  <c r="D19" i="3"/>
  <c r="F19" i="3"/>
  <c r="D12" i="3"/>
  <c r="F12" i="3"/>
  <c r="D68" i="3"/>
  <c r="F68" i="3"/>
  <c r="D8" i="3"/>
  <c r="F8" i="3"/>
  <c r="D17" i="3"/>
  <c r="F17" i="3"/>
  <c r="D50" i="3"/>
  <c r="F50" i="3"/>
  <c r="D48" i="3"/>
  <c r="F48" i="3"/>
  <c r="D67" i="3"/>
  <c r="F67" i="3"/>
  <c r="D69" i="3"/>
  <c r="F69" i="3"/>
  <c r="D25" i="3"/>
  <c r="F25" i="3"/>
  <c r="D4" i="3"/>
  <c r="F4" i="3"/>
  <c r="E4" i="3"/>
  <c r="E10" i="3"/>
  <c r="E11" i="3"/>
  <c r="E5" i="3"/>
  <c r="E70" i="3"/>
  <c r="E19" i="3"/>
  <c r="E12" i="3"/>
  <c r="E68" i="3"/>
  <c r="E8" i="3"/>
  <c r="E17" i="3"/>
  <c r="E50" i="3"/>
  <c r="E48" i="3"/>
  <c r="E67" i="3"/>
  <c r="E69" i="3"/>
  <c r="E25" i="3"/>
  <c r="E26" i="3"/>
  <c r="E21" i="3"/>
  <c r="E57" i="3"/>
  <c r="E36" i="3"/>
  <c r="E66" i="3"/>
  <c r="E22" i="3"/>
  <c r="E52" i="3"/>
  <c r="E42" i="3"/>
  <c r="E24" i="3"/>
  <c r="E37" i="3"/>
  <c r="E14" i="3"/>
  <c r="E34" i="3"/>
  <c r="E55" i="3"/>
  <c r="E15" i="3"/>
  <c r="E28" i="3"/>
  <c r="E20" i="3"/>
  <c r="E13" i="3"/>
  <c r="E33" i="3"/>
  <c r="E60" i="3"/>
  <c r="E31" i="3"/>
  <c r="E62" i="3"/>
  <c r="E61" i="3"/>
  <c r="E43" i="3"/>
  <c r="E6" i="3"/>
  <c r="E35" i="3"/>
  <c r="E30" i="3"/>
  <c r="E41" i="3"/>
  <c r="E47" i="3"/>
  <c r="E32" i="3"/>
  <c r="E58" i="3"/>
  <c r="E56" i="3"/>
  <c r="E38" i="3"/>
  <c r="E27" i="3"/>
  <c r="E63" i="3"/>
  <c r="E45" i="3"/>
  <c r="E53" i="3"/>
  <c r="E59" i="3"/>
  <c r="E54" i="3"/>
  <c r="E29" i="3"/>
  <c r="E18" i="3"/>
  <c r="E23" i="3"/>
  <c r="E44" i="3"/>
  <c r="E9" i="3"/>
  <c r="E40" i="3"/>
  <c r="E7" i="3"/>
  <c r="E16" i="3"/>
  <c r="E39" i="3"/>
  <c r="E46" i="3"/>
  <c r="E65" i="3"/>
  <c r="D70" i="6"/>
  <c r="G70" i="6"/>
  <c r="E70" i="6"/>
  <c r="D68" i="6"/>
  <c r="G68" i="6"/>
  <c r="D69" i="6"/>
  <c r="G69" i="6"/>
  <c r="E68" i="6"/>
  <c r="E69" i="6"/>
  <c r="D67" i="6"/>
  <c r="D48" i="1"/>
  <c r="F78" i="11"/>
  <c r="F68" i="11"/>
  <c r="F69" i="11"/>
  <c r="F70" i="11"/>
  <c r="F71" i="11"/>
  <c r="F72" i="11"/>
  <c r="F73" i="11"/>
  <c r="F74" i="11"/>
  <c r="F75" i="11"/>
  <c r="F76" i="11"/>
  <c r="F77" i="11"/>
  <c r="D68" i="11"/>
  <c r="D69" i="11"/>
  <c r="D70" i="11"/>
  <c r="D71" i="11"/>
  <c r="D72" i="11"/>
  <c r="D73" i="11"/>
  <c r="D74" i="11"/>
  <c r="D75" i="11"/>
  <c r="D76" i="11"/>
  <c r="D77" i="11"/>
  <c r="D78" i="11"/>
  <c r="F67" i="8"/>
  <c r="F68" i="8"/>
  <c r="F69" i="8"/>
  <c r="F70" i="8"/>
  <c r="F71" i="8"/>
  <c r="F72" i="8"/>
  <c r="F73" i="8"/>
  <c r="F74" i="8"/>
  <c r="F75" i="8"/>
  <c r="F76" i="8"/>
  <c r="F77" i="8"/>
  <c r="D67" i="8"/>
  <c r="D68" i="8"/>
  <c r="D69" i="8"/>
  <c r="D70" i="8"/>
  <c r="D71" i="8"/>
  <c r="D72" i="8"/>
  <c r="D73" i="8"/>
  <c r="D74" i="8"/>
  <c r="D75" i="8"/>
  <c r="D76" i="8"/>
  <c r="D77" i="8"/>
  <c r="E69" i="7"/>
  <c r="E70" i="7"/>
  <c r="E67" i="7"/>
  <c r="E68" i="7"/>
  <c r="D49" i="7"/>
  <c r="D39" i="7"/>
  <c r="D52" i="7"/>
  <c r="D46" i="7"/>
  <c r="D64" i="6"/>
  <c r="D63" i="6"/>
  <c r="D69" i="5"/>
  <c r="G69" i="5"/>
  <c r="D70" i="5"/>
  <c r="G70" i="5"/>
  <c r="D71" i="5"/>
  <c r="G71" i="5"/>
  <c r="D72" i="5"/>
  <c r="G72" i="5"/>
  <c r="D73" i="5"/>
  <c r="G73" i="5"/>
  <c r="D74" i="5"/>
  <c r="G74" i="5"/>
  <c r="D75" i="5"/>
  <c r="G75" i="5"/>
  <c r="D76" i="5"/>
  <c r="G76" i="5"/>
  <c r="D77" i="5"/>
  <c r="G77" i="5"/>
  <c r="E76" i="5"/>
  <c r="E69" i="5"/>
  <c r="E70" i="5"/>
  <c r="E71" i="5"/>
  <c r="E72" i="5"/>
  <c r="E73" i="5"/>
  <c r="E74" i="5"/>
  <c r="E75" i="5"/>
  <c r="E77" i="5"/>
  <c r="D67" i="5"/>
  <c r="F77" i="4"/>
  <c r="F74" i="4"/>
  <c r="F75" i="4"/>
  <c r="F76" i="4"/>
  <c r="F69" i="4"/>
  <c r="F70" i="4"/>
  <c r="F71" i="4"/>
  <c r="F72" i="4"/>
  <c r="F73" i="4"/>
  <c r="F4" i="4"/>
  <c r="D76" i="4"/>
  <c r="D77" i="4"/>
  <c r="D69" i="4"/>
  <c r="D70" i="4"/>
  <c r="D71" i="4"/>
  <c r="D72" i="4"/>
  <c r="D73" i="4"/>
  <c r="D74" i="4"/>
  <c r="D75" i="4"/>
  <c r="F77" i="1"/>
  <c r="F73" i="1"/>
  <c r="F74" i="1"/>
  <c r="F75" i="1"/>
  <c r="F76" i="1"/>
  <c r="F71" i="1"/>
  <c r="F72" i="1"/>
  <c r="F69" i="1"/>
  <c r="F70" i="1"/>
  <c r="F65" i="1"/>
  <c r="F66" i="1"/>
  <c r="F67" i="1"/>
  <c r="F68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E5" i="7"/>
  <c r="D66" i="6"/>
  <c r="D65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53" i="7"/>
  <c r="D6" i="6"/>
  <c r="D5" i="6"/>
  <c r="D4" i="6"/>
  <c r="D68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10" i="1"/>
  <c r="D4" i="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5" i="11"/>
  <c r="D31" i="11"/>
  <c r="D67" i="11"/>
  <c r="D58" i="11"/>
  <c r="D57" i="11"/>
  <c r="D56" i="11"/>
  <c r="D48" i="11"/>
  <c r="D30" i="11"/>
  <c r="D29" i="11"/>
  <c r="D17" i="11"/>
  <c r="D66" i="11"/>
  <c r="D47" i="11"/>
  <c r="D13" i="11"/>
  <c r="D55" i="11"/>
  <c r="D54" i="11"/>
  <c r="D46" i="11"/>
  <c r="D24" i="11"/>
  <c r="D12" i="11"/>
  <c r="D18" i="11"/>
  <c r="D65" i="11"/>
  <c r="D45" i="11"/>
  <c r="D44" i="11"/>
  <c r="D53" i="11"/>
  <c r="D52" i="11"/>
  <c r="D28" i="11"/>
  <c r="D27" i="11"/>
  <c r="D26" i="11"/>
  <c r="D43" i="11"/>
  <c r="D42" i="11"/>
  <c r="D41" i="11"/>
  <c r="D16" i="11"/>
  <c r="D40" i="11"/>
  <c r="D64" i="11"/>
  <c r="D15" i="11"/>
  <c r="D39" i="11"/>
  <c r="D23" i="11"/>
  <c r="D51" i="11"/>
  <c r="D22" i="11"/>
  <c r="D50" i="11"/>
  <c r="D25" i="11"/>
  <c r="D38" i="11"/>
  <c r="D37" i="11"/>
  <c r="D36" i="11"/>
  <c r="D63" i="11"/>
  <c r="D35" i="11"/>
  <c r="D49" i="11"/>
  <c r="D21" i="11"/>
  <c r="D62" i="11"/>
  <c r="D11" i="11"/>
  <c r="D10" i="11"/>
  <c r="D34" i="11"/>
  <c r="D61" i="11"/>
  <c r="D60" i="11"/>
  <c r="D20" i="11"/>
  <c r="D59" i="11"/>
  <c r="D33" i="11"/>
  <c r="D32" i="11"/>
  <c r="D19" i="11"/>
  <c r="D9" i="11"/>
  <c r="D14" i="11"/>
  <c r="D8" i="11"/>
  <c r="D7" i="11"/>
  <c r="D6" i="11"/>
  <c r="D5" i="11"/>
  <c r="F30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4" i="8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4" i="7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4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4" i="5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1" i="1"/>
  <c r="F63" i="1"/>
  <c r="F39" i="1"/>
  <c r="F60" i="1"/>
  <c r="F62" i="1"/>
  <c r="F47" i="1"/>
  <c r="F15" i="1"/>
  <c r="F45" i="1"/>
  <c r="F23" i="1"/>
  <c r="F19" i="1"/>
  <c r="F20" i="1"/>
  <c r="F32" i="1"/>
  <c r="F48" i="1"/>
  <c r="F13" i="1"/>
  <c r="F33" i="1"/>
  <c r="F6" i="1"/>
  <c r="F14" i="1"/>
  <c r="F54" i="1"/>
  <c r="F31" i="1"/>
  <c r="F51" i="1"/>
  <c r="F34" i="1"/>
  <c r="F35" i="1"/>
  <c r="F18" i="1"/>
  <c r="F55" i="1"/>
  <c r="F36" i="1"/>
  <c r="F50" i="1"/>
  <c r="F9" i="1"/>
  <c r="F42" i="1"/>
  <c r="F26" i="1"/>
  <c r="F43" i="1"/>
  <c r="F25" i="1"/>
  <c r="F56" i="1"/>
  <c r="F59" i="1"/>
  <c r="F29" i="1"/>
  <c r="F28" i="1"/>
  <c r="F49" i="1"/>
  <c r="F37" i="1"/>
  <c r="F53" i="1"/>
  <c r="F40" i="1"/>
  <c r="F57" i="1"/>
  <c r="F30" i="1"/>
  <c r="F21" i="1"/>
  <c r="F27" i="1"/>
  <c r="F7" i="1"/>
  <c r="F41" i="1"/>
  <c r="F16" i="1"/>
  <c r="F58" i="1"/>
  <c r="F38" i="1"/>
  <c r="F46" i="1"/>
  <c r="F44" i="1"/>
  <c r="F4" i="1"/>
  <c r="F64" i="1"/>
  <c r="F11" i="1"/>
  <c r="F8" i="1"/>
  <c r="F12" i="1"/>
  <c r="F5" i="1"/>
  <c r="F17" i="1"/>
  <c r="F24" i="1"/>
  <c r="F52" i="1"/>
  <c r="F22" i="1"/>
  <c r="F10" i="1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65" i="7"/>
  <c r="D58" i="7"/>
  <c r="D51" i="7"/>
  <c r="D64" i="7"/>
  <c r="D44" i="7"/>
  <c r="D40" i="7"/>
  <c r="D7" i="7"/>
  <c r="D23" i="7"/>
  <c r="D16" i="7"/>
  <c r="D45" i="7"/>
  <c r="D9" i="7"/>
  <c r="D61" i="7"/>
  <c r="D15" i="7"/>
  <c r="D41" i="7"/>
  <c r="D27" i="7"/>
  <c r="D56" i="7"/>
  <c r="D18" i="7"/>
  <c r="D47" i="7"/>
  <c r="D60" i="7"/>
  <c r="D6" i="7"/>
  <c r="D54" i="7"/>
  <c r="D59" i="7"/>
  <c r="D63" i="7"/>
  <c r="D55" i="7"/>
  <c r="D43" i="7"/>
  <c r="D32" i="7"/>
  <c r="D37" i="7"/>
  <c r="D29" i="7"/>
  <c r="D28" i="7"/>
  <c r="D35" i="7"/>
  <c r="D30" i="7"/>
  <c r="D20" i="7"/>
  <c r="D62" i="7"/>
  <c r="D33" i="7"/>
  <c r="D13" i="7"/>
  <c r="D34" i="7"/>
  <c r="D31" i="7"/>
  <c r="D38" i="7"/>
  <c r="D14" i="7"/>
  <c r="D24" i="7"/>
  <c r="D42" i="7"/>
  <c r="D22" i="7"/>
  <c r="D57" i="7"/>
  <c r="D69" i="7"/>
  <c r="D25" i="7"/>
  <c r="D68" i="7"/>
  <c r="D50" i="7"/>
  <c r="D26" i="7"/>
  <c r="D21" i="7"/>
  <c r="D36" i="7"/>
  <c r="D66" i="7"/>
  <c r="D67" i="7"/>
  <c r="D8" i="7"/>
  <c r="D48" i="7"/>
  <c r="D17" i="7"/>
  <c r="D19" i="7"/>
  <c r="D70" i="7"/>
  <c r="D12" i="7"/>
  <c r="D11" i="7"/>
  <c r="D5" i="7"/>
  <c r="D10" i="7"/>
  <c r="D4" i="7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64" i="1"/>
  <c r="D11" i="1"/>
  <c r="D8" i="1"/>
  <c r="D12" i="1"/>
  <c r="D5" i="1"/>
  <c r="D17" i="1"/>
  <c r="D24" i="1"/>
  <c r="D52" i="1"/>
  <c r="D22" i="1"/>
  <c r="D44" i="1"/>
  <c r="D61" i="1"/>
  <c r="D63" i="1"/>
  <c r="D39" i="1"/>
  <c r="D60" i="1"/>
  <c r="D62" i="1"/>
  <c r="D47" i="1"/>
  <c r="D15" i="1"/>
  <c r="D45" i="1"/>
  <c r="D23" i="1"/>
  <c r="D19" i="1"/>
  <c r="D20" i="1"/>
  <c r="D32" i="1"/>
  <c r="D13" i="1"/>
  <c r="D33" i="1"/>
  <c r="D6" i="1"/>
  <c r="D14" i="1"/>
  <c r="D54" i="1"/>
  <c r="D31" i="1"/>
  <c r="D51" i="1"/>
  <c r="D34" i="1"/>
  <c r="D35" i="1"/>
  <c r="D18" i="1"/>
  <c r="D55" i="1"/>
  <c r="D36" i="1"/>
  <c r="D50" i="1"/>
  <c r="D9" i="1"/>
  <c r="D42" i="1"/>
  <c r="D26" i="1"/>
  <c r="D43" i="1"/>
  <c r="D25" i="1"/>
  <c r="D56" i="1"/>
  <c r="D59" i="1"/>
  <c r="D29" i="1"/>
  <c r="D28" i="1"/>
  <c r="D49" i="1"/>
  <c r="D37" i="1"/>
  <c r="D53" i="1"/>
  <c r="D40" i="1"/>
  <c r="D57" i="1"/>
  <c r="D30" i="1"/>
  <c r="D21" i="1"/>
  <c r="D27" i="1"/>
  <c r="D7" i="1"/>
  <c r="D41" i="1"/>
  <c r="D16" i="1"/>
  <c r="D58" i="1"/>
  <c r="D38" i="1"/>
  <c r="D46" i="1"/>
</calcChain>
</file>

<file path=xl/sharedStrings.xml><?xml version="1.0" encoding="utf-8"?>
<sst xmlns="http://schemas.openxmlformats.org/spreadsheetml/2006/main" count="264" uniqueCount="130">
  <si>
    <t>Div</t>
  </si>
  <si>
    <t>Div Place</t>
  </si>
  <si>
    <t>Leg Time</t>
  </si>
  <si>
    <t>2017 Tahoe Relay</t>
  </si>
  <si>
    <t>List</t>
  </si>
  <si>
    <t>Bib #</t>
  </si>
  <si>
    <t>Division</t>
  </si>
  <si>
    <t>Name</t>
  </si>
  <si>
    <t>Leg 6</t>
  </si>
  <si>
    <t>Leg 1</t>
  </si>
  <si>
    <t>Leg 2</t>
  </si>
  <si>
    <t>Leg 3</t>
  </si>
  <si>
    <t>Leg 4</t>
  </si>
  <si>
    <t>Leg 5</t>
  </si>
  <si>
    <t>Leg 7</t>
  </si>
  <si>
    <t>Total Time</t>
  </si>
  <si>
    <t>Place</t>
  </si>
  <si>
    <t>Pace</t>
  </si>
  <si>
    <t>9.6 miles</t>
  </si>
  <si>
    <t>9.5 miles</t>
  </si>
  <si>
    <t>10.7 Miles</t>
  </si>
  <si>
    <t>8.6 Miles</t>
  </si>
  <si>
    <t>Sorted Results</t>
  </si>
  <si>
    <t>Overall Place</t>
  </si>
  <si>
    <t>13.1 Miles</t>
  </si>
  <si>
    <t>9.4 Miles</t>
  </si>
  <si>
    <t>10.5 Miles</t>
  </si>
  <si>
    <t>2018 Tahoe Relay</t>
  </si>
  <si>
    <t>2018 Relay Race</t>
  </si>
  <si>
    <t>That's Fine Track Club</t>
  </si>
  <si>
    <t>Back Bay Athletic Club</t>
  </si>
  <si>
    <t>Lancer Punch</t>
  </si>
  <si>
    <t>Sol</t>
  </si>
  <si>
    <t>The Esteemed Buns</t>
  </si>
  <si>
    <t>The Extreme Falcons</t>
  </si>
  <si>
    <t>West Valley Track Club 1</t>
  </si>
  <si>
    <t>West Valley Track Club 2</t>
  </si>
  <si>
    <t>The Midnight Society</t>
  </si>
  <si>
    <t>DNS</t>
  </si>
  <si>
    <t>Men's</t>
  </si>
  <si>
    <t>Men40+</t>
  </si>
  <si>
    <t>West Valley Track Club Masters</t>
  </si>
  <si>
    <t>Men50+</t>
  </si>
  <si>
    <t>Original A Team</t>
  </si>
  <si>
    <t>Diego Diaz</t>
  </si>
  <si>
    <t>5:30 start</t>
  </si>
  <si>
    <t>5:50 start</t>
  </si>
  <si>
    <t>6:00 start</t>
  </si>
  <si>
    <t>Team Carpe Gluteus</t>
  </si>
  <si>
    <t>Harey Tortuga</t>
  </si>
  <si>
    <t>Ultra</t>
  </si>
  <si>
    <t>Womens</t>
  </si>
  <si>
    <t>25 Kids Need a Babysitter to Run This</t>
  </si>
  <si>
    <t>Impala Racing Team</t>
  </si>
  <si>
    <t>Neuruns BBC</t>
  </si>
  <si>
    <t>Sunnyside Striders</t>
  </si>
  <si>
    <t>Wolfpack Ladies</t>
  </si>
  <si>
    <t>West Valley Track Club Womens</t>
  </si>
  <si>
    <t>Wmn 40+</t>
  </si>
  <si>
    <t>Mixed</t>
  </si>
  <si>
    <t>Adventure is Out There</t>
  </si>
  <si>
    <t>Dances with Wolfpack</t>
  </si>
  <si>
    <t>Drinkers with a Running Problem</t>
  </si>
  <si>
    <t>Fleet Feet Sac - Blue</t>
  </si>
  <si>
    <t>Fleet Feet Sac - Orange</t>
  </si>
  <si>
    <t>GGRC - Runs N' Roses</t>
  </si>
  <si>
    <t>GGRC - Show Us What You Got</t>
  </si>
  <si>
    <t>GGRC - Snow White &amp; The 7 Dwarfs</t>
  </si>
  <si>
    <t>GGRC - Speedsters</t>
  </si>
  <si>
    <t>Jocks and Jills</t>
  </si>
  <si>
    <t>LeeAison</t>
  </si>
  <si>
    <t>LMJS Tahoe Redondo</t>
  </si>
  <si>
    <t>Lucky Bella Bru Running Kru</t>
  </si>
  <si>
    <t>Lush Puppies 2.0</t>
  </si>
  <si>
    <t>Manic RC - Team Espresso</t>
  </si>
  <si>
    <t>Manic RC - Team Squirrel</t>
  </si>
  <si>
    <t>No Guts No Coffee</t>
  </si>
  <si>
    <t>No Passing</t>
  </si>
  <si>
    <t>Quads of Fury</t>
  </si>
  <si>
    <t>Pamplemouse Express</t>
  </si>
  <si>
    <t>SF/East Bay Beer Runners</t>
  </si>
  <si>
    <t>Sheepdogs</t>
  </si>
  <si>
    <t>Smok'n Oaks</t>
  </si>
  <si>
    <t>Sole Mates</t>
  </si>
  <si>
    <t>SRA Elite</t>
  </si>
  <si>
    <t>Tahoe Blue Crew</t>
  </si>
  <si>
    <t>Team Party Cat</t>
  </si>
  <si>
    <t>Team Pink</t>
  </si>
  <si>
    <t>That's Fine Too</t>
  </si>
  <si>
    <t>The Aches and Pains</t>
  </si>
  <si>
    <t>Mixed40+</t>
  </si>
  <si>
    <t>Call Me a Cab</t>
  </si>
  <si>
    <t>Hoka Aggies Running Club</t>
  </si>
  <si>
    <t>LMJS What the Duck?</t>
  </si>
  <si>
    <t>Our Team Socks</t>
  </si>
  <si>
    <t>Raiders of the Lost Track</t>
  </si>
  <si>
    <t>Corp</t>
  </si>
  <si>
    <t>Always Promise Never Deliver</t>
  </si>
  <si>
    <t>Brown Runners 1</t>
  </si>
  <si>
    <t>HS-Girls</t>
  </si>
  <si>
    <t>Kiewit</t>
  </si>
  <si>
    <t>KLM Royal Dutch Airlines Road</t>
  </si>
  <si>
    <t>Over Promise and Under Deliver</t>
  </si>
  <si>
    <t>Panasonic Ekiden BT</t>
  </si>
  <si>
    <t>Parliament of Owls</t>
  </si>
  <si>
    <t>Superchargers</t>
  </si>
  <si>
    <t>We Trained at Sea Level</t>
  </si>
  <si>
    <t>Fresno High School - Girls</t>
  </si>
  <si>
    <t>HS -Boys</t>
  </si>
  <si>
    <t>MVXC</t>
  </si>
  <si>
    <t>HS-Boys</t>
  </si>
  <si>
    <t>South Tahoe High School</t>
  </si>
  <si>
    <t>McFarland High School</t>
  </si>
  <si>
    <t>Fresno High School - Boys 1</t>
  </si>
  <si>
    <t>Fresno High School - Boys 2</t>
  </si>
  <si>
    <t>Leg 2 Cum</t>
  </si>
  <si>
    <t>Leg 3 Cum</t>
  </si>
  <si>
    <t>Leg 4 Cum</t>
  </si>
  <si>
    <t>Leg 5 Cum</t>
  </si>
  <si>
    <t>Leg 6 Cum</t>
  </si>
  <si>
    <t>Leg 1 Time</t>
  </si>
  <si>
    <t>Leg 2 Split</t>
  </si>
  <si>
    <t>Leg 3 Split</t>
  </si>
  <si>
    <t>Leg 4 Split</t>
  </si>
  <si>
    <t>Leg 5 Split</t>
  </si>
  <si>
    <t>Leg 6 Split</t>
  </si>
  <si>
    <t>Leg 7 Split</t>
  </si>
  <si>
    <t>DNF</t>
  </si>
  <si>
    <t>Div.</t>
  </si>
  <si>
    <t>2018 Decelle  Tahoe Relay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</si>
</sst>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0" fontId="3" fillId="0" borderId="0" xfId="0" applyFont="1" applyAlignment="1">
      <alignment horizontal="left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2" fillId="0" borderId="0" xfId="0" applyNumberFormat="1" applyFont="1"/>
    <xf numFmtId="164" fontId="1" fillId="0" borderId="1" xfId="0" applyNumberFormat="1" applyFont="1" applyBorder="1"/>
    <xf numFmtId="164" fontId="0" fillId="0" borderId="0" xfId="0" applyNumberFormat="1"/>
    <xf numFmtId="0" fontId="1" fillId="0" borderId="0" xfId="0" applyFont="1" applyAlignment="1">
      <alignment horizontal="center"/>
    </xf>
    <xf numFmtId="21" fontId="0" fillId="0" borderId="0" xfId="0" applyNumberFormat="1"/>
    <xf numFmtId="0" fontId="2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1" xfId="0" applyNumberFormat="1" applyFont="1" applyBorder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21" fontId="0" fillId="3" borderId="0" xfId="0" applyNumberFormat="1" applyFill="1"/>
    <xf numFmtId="0" fontId="0" fillId="2" borderId="0" xfId="0" applyFill="1" applyAlignment="1">
      <alignment horizontal="center"/>
    </xf>
    <xf numFmtId="21" fontId="0" fillId="2" borderId="0" xfId="0" applyNumberFormat="1" applyFill="1"/>
    <xf numFmtId="164" fontId="0" fillId="4" borderId="0" xfId="0" applyNumberFormat="1" applyFill="1"/>
    <xf numFmtId="164" fontId="0" fillId="4" borderId="0" xfId="0" applyNumberFormat="1" applyFill="1" applyAlignment="1">
      <alignment horizontal="center"/>
    </xf>
    <xf numFmtId="21" fontId="0" fillId="4" borderId="0" xfId="0" applyNumberFormat="1" applyFill="1" applyAlignment="1">
      <alignment horizontal="center"/>
    </xf>
    <xf numFmtId="21" fontId="0" fillId="4" borderId="0" xfId="0" applyNumberFormat="1" applyFill="1"/>
    <xf numFmtId="164" fontId="1" fillId="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workbookViewId="0">
      <selection activeCell="F70" sqref="F70"/>
    </sheetView>
  </sheetViews>
  <sheetFormatPr defaultColWidth="8.81640625" defaultRowHeight="14.5" x14ac:dyDescent="0.35"/>
  <cols>
    <col min="1" max="1" width="6.81640625" customWidth="1"/>
    <col min="2" max="2" width="6.453125" style="1" customWidth="1"/>
    <col min="3" max="3" width="8.453125" style="1" customWidth="1"/>
    <col min="4" max="4" width="30.81640625" customWidth="1"/>
  </cols>
  <sheetData>
    <row r="1" spans="1:5" ht="23.25" customHeight="1" x14ac:dyDescent="0.5">
      <c r="A1" s="7"/>
      <c r="B1" s="8" t="s">
        <v>28</v>
      </c>
    </row>
    <row r="2" spans="1:5" ht="24" customHeight="1" x14ac:dyDescent="0.35">
      <c r="A2" s="6" t="s">
        <v>4</v>
      </c>
      <c r="B2" s="6" t="s">
        <v>5</v>
      </c>
      <c r="C2" s="6" t="s">
        <v>6</v>
      </c>
      <c r="D2" s="6" t="s">
        <v>7</v>
      </c>
    </row>
    <row r="3" spans="1:5" x14ac:dyDescent="0.35">
      <c r="A3" s="2">
        <v>1</v>
      </c>
      <c r="B3" s="2">
        <v>1</v>
      </c>
      <c r="C3" s="2" t="s">
        <v>39</v>
      </c>
      <c r="D3" s="3" t="s">
        <v>29</v>
      </c>
    </row>
    <row r="4" spans="1:5" x14ac:dyDescent="0.35">
      <c r="A4" s="39">
        <v>2</v>
      </c>
      <c r="B4" s="39">
        <v>2</v>
      </c>
      <c r="C4" s="39" t="s">
        <v>39</v>
      </c>
      <c r="D4" s="40" t="s">
        <v>30</v>
      </c>
      <c r="E4" t="s">
        <v>38</v>
      </c>
    </row>
    <row r="5" spans="1:5" x14ac:dyDescent="0.35">
      <c r="A5" s="2">
        <v>3</v>
      </c>
      <c r="B5" s="2">
        <v>3</v>
      </c>
      <c r="C5" s="2" t="s">
        <v>39</v>
      </c>
      <c r="D5" s="3" t="s">
        <v>31</v>
      </c>
    </row>
    <row r="6" spans="1:5" x14ac:dyDescent="0.35">
      <c r="A6" s="2">
        <v>4</v>
      </c>
      <c r="B6" s="2">
        <v>4</v>
      </c>
      <c r="C6" s="2" t="s">
        <v>39</v>
      </c>
      <c r="D6" s="3" t="s">
        <v>32</v>
      </c>
    </row>
    <row r="7" spans="1:5" x14ac:dyDescent="0.35">
      <c r="A7" s="2">
        <v>5</v>
      </c>
      <c r="B7" s="2">
        <v>5</v>
      </c>
      <c r="C7" s="2" t="s">
        <v>39</v>
      </c>
      <c r="D7" s="3" t="s">
        <v>48</v>
      </c>
    </row>
    <row r="8" spans="1:5" x14ac:dyDescent="0.35">
      <c r="A8" s="2">
        <v>6</v>
      </c>
      <c r="B8" s="2">
        <v>6</v>
      </c>
      <c r="C8" s="2" t="s">
        <v>39</v>
      </c>
      <c r="D8" s="3" t="s">
        <v>33</v>
      </c>
    </row>
    <row r="9" spans="1:5" x14ac:dyDescent="0.35">
      <c r="A9" s="2">
        <v>7</v>
      </c>
      <c r="B9" s="2">
        <v>7</v>
      </c>
      <c r="C9" s="2" t="s">
        <v>39</v>
      </c>
      <c r="D9" s="3" t="s">
        <v>34</v>
      </c>
    </row>
    <row r="10" spans="1:5" x14ac:dyDescent="0.35">
      <c r="A10" s="36">
        <v>8</v>
      </c>
      <c r="B10" s="36">
        <v>8</v>
      </c>
      <c r="C10" s="36" t="s">
        <v>39</v>
      </c>
      <c r="D10" s="37" t="s">
        <v>35</v>
      </c>
    </row>
    <row r="11" spans="1:5" x14ac:dyDescent="0.35">
      <c r="A11" s="2">
        <v>9</v>
      </c>
      <c r="B11" s="2">
        <v>9</v>
      </c>
      <c r="C11" s="2" t="s">
        <v>39</v>
      </c>
      <c r="D11" s="3" t="s">
        <v>36</v>
      </c>
    </row>
    <row r="12" spans="1:5" x14ac:dyDescent="0.35">
      <c r="A12" s="2">
        <v>10</v>
      </c>
      <c r="B12" s="2">
        <v>52</v>
      </c>
      <c r="C12" s="2" t="s">
        <v>39</v>
      </c>
      <c r="D12" s="3" t="s">
        <v>37</v>
      </c>
    </row>
    <row r="13" spans="1:5" x14ac:dyDescent="0.35">
      <c r="A13" s="2">
        <v>11</v>
      </c>
      <c r="B13" s="2">
        <v>10</v>
      </c>
      <c r="C13" s="2" t="s">
        <v>40</v>
      </c>
      <c r="D13" s="3" t="s">
        <v>41</v>
      </c>
    </row>
    <row r="14" spans="1:5" x14ac:dyDescent="0.35">
      <c r="A14" s="2">
        <v>12</v>
      </c>
      <c r="B14" s="2">
        <v>11</v>
      </c>
      <c r="C14" s="2" t="s">
        <v>42</v>
      </c>
      <c r="D14" s="3" t="s">
        <v>49</v>
      </c>
    </row>
    <row r="15" spans="1:5" x14ac:dyDescent="0.35">
      <c r="A15" s="2">
        <v>13</v>
      </c>
      <c r="B15" s="2">
        <v>12</v>
      </c>
      <c r="C15" s="2" t="s">
        <v>42</v>
      </c>
      <c r="D15" s="3" t="s">
        <v>43</v>
      </c>
    </row>
    <row r="16" spans="1:5" x14ac:dyDescent="0.35">
      <c r="A16" s="2">
        <v>14</v>
      </c>
      <c r="B16" s="2">
        <v>13</v>
      </c>
      <c r="C16" s="2" t="s">
        <v>50</v>
      </c>
      <c r="D16" s="3" t="s">
        <v>44</v>
      </c>
    </row>
    <row r="17" spans="1:5" x14ac:dyDescent="0.35">
      <c r="A17" s="2">
        <v>15</v>
      </c>
      <c r="B17" s="2">
        <v>14</v>
      </c>
      <c r="C17" s="2" t="s">
        <v>51</v>
      </c>
      <c r="D17" s="3" t="s">
        <v>52</v>
      </c>
    </row>
    <row r="18" spans="1:5" x14ac:dyDescent="0.35">
      <c r="A18" s="2">
        <v>16</v>
      </c>
      <c r="B18" s="2">
        <v>16</v>
      </c>
      <c r="C18" s="2" t="s">
        <v>51</v>
      </c>
      <c r="D18" s="3" t="s">
        <v>53</v>
      </c>
    </row>
    <row r="19" spans="1:5" x14ac:dyDescent="0.35">
      <c r="A19" s="2">
        <v>17</v>
      </c>
      <c r="B19" s="2">
        <v>17</v>
      </c>
      <c r="C19" s="2" t="s">
        <v>51</v>
      </c>
      <c r="D19" s="3" t="s">
        <v>54</v>
      </c>
    </row>
    <row r="20" spans="1:5" x14ac:dyDescent="0.35">
      <c r="A20" s="2">
        <v>18</v>
      </c>
      <c r="B20" s="2">
        <v>19</v>
      </c>
      <c r="C20" s="2" t="s">
        <v>51</v>
      </c>
      <c r="D20" s="3" t="s">
        <v>55</v>
      </c>
    </row>
    <row r="21" spans="1:5" x14ac:dyDescent="0.35">
      <c r="A21" s="39">
        <v>19</v>
      </c>
      <c r="B21" s="39">
        <v>20</v>
      </c>
      <c r="C21" s="39" t="s">
        <v>51</v>
      </c>
      <c r="D21" s="40" t="s">
        <v>56</v>
      </c>
      <c r="E21" t="s">
        <v>38</v>
      </c>
    </row>
    <row r="22" spans="1:5" x14ac:dyDescent="0.35">
      <c r="A22" s="2">
        <v>20</v>
      </c>
      <c r="B22" s="2">
        <v>21</v>
      </c>
      <c r="C22" s="2" t="s">
        <v>51</v>
      </c>
      <c r="D22" s="3" t="s">
        <v>57</v>
      </c>
    </row>
    <row r="23" spans="1:5" x14ac:dyDescent="0.35">
      <c r="A23" s="2">
        <v>21</v>
      </c>
      <c r="B23" s="2">
        <v>22</v>
      </c>
      <c r="C23" s="2" t="s">
        <v>58</v>
      </c>
      <c r="D23" s="3" t="s">
        <v>53</v>
      </c>
    </row>
    <row r="24" spans="1:5" x14ac:dyDescent="0.35">
      <c r="A24" s="2">
        <v>22</v>
      </c>
      <c r="B24" s="2">
        <v>23</v>
      </c>
      <c r="C24" s="2" t="s">
        <v>59</v>
      </c>
      <c r="D24" s="3" t="s">
        <v>60</v>
      </c>
    </row>
    <row r="25" spans="1:5" x14ac:dyDescent="0.35">
      <c r="A25" s="2">
        <v>23</v>
      </c>
      <c r="B25" s="2">
        <v>24</v>
      </c>
      <c r="C25" s="2" t="s">
        <v>59</v>
      </c>
      <c r="D25" s="3" t="s">
        <v>61</v>
      </c>
    </row>
    <row r="26" spans="1:5" x14ac:dyDescent="0.35">
      <c r="A26" s="2">
        <v>24</v>
      </c>
      <c r="B26" s="2">
        <v>25</v>
      </c>
      <c r="C26" s="2" t="s">
        <v>59</v>
      </c>
      <c r="D26" s="3" t="s">
        <v>62</v>
      </c>
    </row>
    <row r="27" spans="1:5" x14ac:dyDescent="0.35">
      <c r="A27" s="2">
        <v>25</v>
      </c>
      <c r="B27" s="2">
        <v>26</v>
      </c>
      <c r="C27" s="2" t="s">
        <v>59</v>
      </c>
      <c r="D27" s="3" t="s">
        <v>63</v>
      </c>
    </row>
    <row r="28" spans="1:5" x14ac:dyDescent="0.35">
      <c r="A28" s="2">
        <v>26</v>
      </c>
      <c r="B28" s="2">
        <v>27</v>
      </c>
      <c r="C28" s="2" t="s">
        <v>59</v>
      </c>
      <c r="D28" s="3" t="s">
        <v>64</v>
      </c>
    </row>
    <row r="29" spans="1:5" x14ac:dyDescent="0.35">
      <c r="A29" s="2">
        <v>27</v>
      </c>
      <c r="B29" s="2">
        <v>28</v>
      </c>
      <c r="C29" s="2" t="s">
        <v>59</v>
      </c>
      <c r="D29" s="3" t="s">
        <v>65</v>
      </c>
    </row>
    <row r="30" spans="1:5" x14ac:dyDescent="0.35">
      <c r="A30" s="2">
        <v>28</v>
      </c>
      <c r="B30" s="2">
        <v>29</v>
      </c>
      <c r="C30" s="2" t="s">
        <v>59</v>
      </c>
      <c r="D30" s="3" t="s">
        <v>66</v>
      </c>
    </row>
    <row r="31" spans="1:5" x14ac:dyDescent="0.35">
      <c r="A31" s="2">
        <v>29</v>
      </c>
      <c r="B31" s="2">
        <v>30</v>
      </c>
      <c r="C31" s="2" t="s">
        <v>59</v>
      </c>
      <c r="D31" s="3" t="s">
        <v>67</v>
      </c>
    </row>
    <row r="32" spans="1:5" x14ac:dyDescent="0.35">
      <c r="A32" s="2">
        <v>30</v>
      </c>
      <c r="B32" s="2">
        <v>31</v>
      </c>
      <c r="C32" s="2" t="s">
        <v>59</v>
      </c>
      <c r="D32" s="3" t="s">
        <v>68</v>
      </c>
    </row>
    <row r="33" spans="1:5" x14ac:dyDescent="0.35">
      <c r="A33" s="2">
        <v>31</v>
      </c>
      <c r="B33" s="2">
        <v>32</v>
      </c>
      <c r="C33" s="2" t="s">
        <v>59</v>
      </c>
      <c r="D33" s="3" t="s">
        <v>69</v>
      </c>
    </row>
    <row r="34" spans="1:5" x14ac:dyDescent="0.35">
      <c r="A34" s="2">
        <v>32</v>
      </c>
      <c r="B34" s="2">
        <v>33</v>
      </c>
      <c r="C34" s="2" t="s">
        <v>59</v>
      </c>
      <c r="D34" s="3" t="s">
        <v>70</v>
      </c>
    </row>
    <row r="35" spans="1:5" x14ac:dyDescent="0.35">
      <c r="A35" s="2">
        <v>33</v>
      </c>
      <c r="B35" s="2">
        <v>34</v>
      </c>
      <c r="C35" s="2" t="s">
        <v>59</v>
      </c>
      <c r="D35" s="3" t="s">
        <v>71</v>
      </c>
    </row>
    <row r="36" spans="1:5" x14ac:dyDescent="0.35">
      <c r="A36" s="2">
        <v>34</v>
      </c>
      <c r="B36" s="2">
        <v>35</v>
      </c>
      <c r="C36" s="2" t="s">
        <v>59</v>
      </c>
      <c r="D36" s="3" t="s">
        <v>72</v>
      </c>
    </row>
    <row r="37" spans="1:5" x14ac:dyDescent="0.35">
      <c r="A37" s="36">
        <v>35</v>
      </c>
      <c r="B37" s="36">
        <v>36</v>
      </c>
      <c r="C37" s="36" t="s">
        <v>59</v>
      </c>
      <c r="D37" s="37" t="s">
        <v>73</v>
      </c>
    </row>
    <row r="38" spans="1:5" x14ac:dyDescent="0.35">
      <c r="A38" s="2">
        <v>36</v>
      </c>
      <c r="B38" s="2">
        <v>37</v>
      </c>
      <c r="C38" s="2" t="s">
        <v>59</v>
      </c>
      <c r="D38" s="3" t="s">
        <v>74</v>
      </c>
    </row>
    <row r="39" spans="1:5" x14ac:dyDescent="0.35">
      <c r="A39" s="2">
        <v>37</v>
      </c>
      <c r="B39" s="2">
        <v>38</v>
      </c>
      <c r="C39" s="2" t="s">
        <v>59</v>
      </c>
      <c r="D39" s="3" t="s">
        <v>75</v>
      </c>
    </row>
    <row r="40" spans="1:5" x14ac:dyDescent="0.35">
      <c r="A40" s="2">
        <v>38</v>
      </c>
      <c r="B40" s="2">
        <v>39</v>
      </c>
      <c r="C40" s="2" t="s">
        <v>59</v>
      </c>
      <c r="D40" s="3" t="s">
        <v>76</v>
      </c>
    </row>
    <row r="41" spans="1:5" x14ac:dyDescent="0.35">
      <c r="A41" s="2">
        <v>39</v>
      </c>
      <c r="B41" s="2">
        <v>40</v>
      </c>
      <c r="C41" s="2" t="s">
        <v>59</v>
      </c>
      <c r="D41" s="3" t="s">
        <v>77</v>
      </c>
    </row>
    <row r="42" spans="1:5" x14ac:dyDescent="0.35">
      <c r="A42" s="2">
        <v>40</v>
      </c>
      <c r="B42" s="2">
        <v>41</v>
      </c>
      <c r="C42" s="2" t="s">
        <v>59</v>
      </c>
      <c r="D42" s="3" t="s">
        <v>78</v>
      </c>
    </row>
    <row r="43" spans="1:5" x14ac:dyDescent="0.35">
      <c r="A43" s="2">
        <v>41</v>
      </c>
      <c r="B43" s="2">
        <v>42</v>
      </c>
      <c r="C43" s="2" t="s">
        <v>59</v>
      </c>
      <c r="D43" s="3" t="s">
        <v>79</v>
      </c>
    </row>
    <row r="44" spans="1:5" x14ac:dyDescent="0.35">
      <c r="A44" s="36">
        <v>42</v>
      </c>
      <c r="B44" s="36">
        <v>43</v>
      </c>
      <c r="C44" s="36" t="s">
        <v>59</v>
      </c>
      <c r="D44" s="37" t="s">
        <v>80</v>
      </c>
      <c r="E44" s="38"/>
    </row>
    <row r="45" spans="1:5" x14ac:dyDescent="0.35">
      <c r="A45" s="39">
        <v>43</v>
      </c>
      <c r="B45" s="39">
        <v>44</v>
      </c>
      <c r="C45" s="39" t="s">
        <v>59</v>
      </c>
      <c r="D45" s="40" t="s">
        <v>81</v>
      </c>
      <c r="E45" t="s">
        <v>38</v>
      </c>
    </row>
    <row r="46" spans="1:5" x14ac:dyDescent="0.35">
      <c r="A46" s="2">
        <v>44</v>
      </c>
      <c r="B46" s="2">
        <v>45</v>
      </c>
      <c r="C46" s="2" t="s">
        <v>59</v>
      </c>
      <c r="D46" s="3" t="s">
        <v>82</v>
      </c>
    </row>
    <row r="47" spans="1:5" x14ac:dyDescent="0.35">
      <c r="A47" s="2">
        <v>45</v>
      </c>
      <c r="B47" s="2">
        <v>46</v>
      </c>
      <c r="C47" s="2" t="s">
        <v>59</v>
      </c>
      <c r="D47" s="3" t="s">
        <v>83</v>
      </c>
    </row>
    <row r="48" spans="1:5" x14ac:dyDescent="0.35">
      <c r="A48" s="2">
        <v>46</v>
      </c>
      <c r="B48" s="2">
        <v>18</v>
      </c>
      <c r="C48" s="2" t="s">
        <v>59</v>
      </c>
      <c r="D48" s="3" t="s">
        <v>84</v>
      </c>
    </row>
    <row r="49" spans="1:4" x14ac:dyDescent="0.35">
      <c r="A49" s="2">
        <v>47</v>
      </c>
      <c r="B49" s="2">
        <v>47</v>
      </c>
      <c r="C49" s="2" t="s">
        <v>59</v>
      </c>
      <c r="D49" s="3" t="s">
        <v>85</v>
      </c>
    </row>
    <row r="50" spans="1:4" x14ac:dyDescent="0.35">
      <c r="A50" s="2">
        <v>48</v>
      </c>
      <c r="B50" s="2">
        <v>48</v>
      </c>
      <c r="C50" s="2" t="s">
        <v>59</v>
      </c>
      <c r="D50" s="3" t="s">
        <v>86</v>
      </c>
    </row>
    <row r="51" spans="1:4" x14ac:dyDescent="0.35">
      <c r="A51" s="2">
        <v>49</v>
      </c>
      <c r="B51" s="2">
        <v>49</v>
      </c>
      <c r="C51" s="2" t="s">
        <v>59</v>
      </c>
      <c r="D51" s="3" t="s">
        <v>87</v>
      </c>
    </row>
    <row r="52" spans="1:4" x14ac:dyDescent="0.35">
      <c r="A52" s="2">
        <v>50</v>
      </c>
      <c r="B52" s="2">
        <v>50</v>
      </c>
      <c r="C52" s="2" t="s">
        <v>59</v>
      </c>
      <c r="D52" s="3" t="s">
        <v>88</v>
      </c>
    </row>
    <row r="53" spans="1:4" x14ac:dyDescent="0.35">
      <c r="A53" s="2">
        <v>51</v>
      </c>
      <c r="B53" s="2">
        <v>51</v>
      </c>
      <c r="C53" s="2" t="s">
        <v>59</v>
      </c>
      <c r="D53" s="3" t="s">
        <v>89</v>
      </c>
    </row>
    <row r="54" spans="1:4" x14ac:dyDescent="0.35">
      <c r="A54" s="2">
        <v>52</v>
      </c>
      <c r="B54" s="2">
        <v>53</v>
      </c>
      <c r="C54" s="2" t="s">
        <v>90</v>
      </c>
      <c r="D54" s="3" t="s">
        <v>91</v>
      </c>
    </row>
    <row r="55" spans="1:4" x14ac:dyDescent="0.35">
      <c r="A55" s="2">
        <v>53</v>
      </c>
      <c r="B55" s="2">
        <v>55</v>
      </c>
      <c r="C55" s="2" t="s">
        <v>90</v>
      </c>
      <c r="D55" s="3" t="s">
        <v>92</v>
      </c>
    </row>
    <row r="56" spans="1:4" x14ac:dyDescent="0.35">
      <c r="A56" s="2">
        <v>54</v>
      </c>
      <c r="B56" s="2">
        <v>56</v>
      </c>
      <c r="C56" s="2" t="s">
        <v>90</v>
      </c>
      <c r="D56" s="3" t="s">
        <v>93</v>
      </c>
    </row>
    <row r="57" spans="1:4" x14ac:dyDescent="0.35">
      <c r="A57" s="2">
        <v>55</v>
      </c>
      <c r="B57" s="2">
        <v>57</v>
      </c>
      <c r="C57" s="2" t="s">
        <v>90</v>
      </c>
      <c r="D57" s="3" t="s">
        <v>94</v>
      </c>
    </row>
    <row r="58" spans="1:4" x14ac:dyDescent="0.35">
      <c r="A58" s="2">
        <v>56</v>
      </c>
      <c r="B58" s="2">
        <v>58</v>
      </c>
      <c r="C58" s="2" t="s">
        <v>90</v>
      </c>
      <c r="D58" s="3" t="s">
        <v>95</v>
      </c>
    </row>
    <row r="59" spans="1:4" x14ac:dyDescent="0.35">
      <c r="A59" s="2">
        <v>57</v>
      </c>
      <c r="B59" s="2">
        <v>59</v>
      </c>
      <c r="C59" s="2" t="s">
        <v>96</v>
      </c>
      <c r="D59" s="3" t="s">
        <v>97</v>
      </c>
    </row>
    <row r="60" spans="1:4" x14ac:dyDescent="0.35">
      <c r="A60" s="2">
        <v>58</v>
      </c>
      <c r="B60" s="2">
        <v>60</v>
      </c>
      <c r="C60" s="2" t="s">
        <v>96</v>
      </c>
      <c r="D60" s="3" t="s">
        <v>98</v>
      </c>
    </row>
    <row r="61" spans="1:4" x14ac:dyDescent="0.35">
      <c r="A61" s="2">
        <v>59</v>
      </c>
      <c r="B61" s="2">
        <v>61</v>
      </c>
      <c r="C61" s="2" t="s">
        <v>96</v>
      </c>
      <c r="D61" s="3" t="s">
        <v>100</v>
      </c>
    </row>
    <row r="62" spans="1:4" x14ac:dyDescent="0.35">
      <c r="A62" s="2">
        <v>60</v>
      </c>
      <c r="B62" s="2">
        <v>62</v>
      </c>
      <c r="C62" s="2" t="s">
        <v>96</v>
      </c>
      <c r="D62" s="3" t="s">
        <v>101</v>
      </c>
    </row>
    <row r="63" spans="1:4" x14ac:dyDescent="0.35">
      <c r="A63" s="2">
        <v>61</v>
      </c>
      <c r="B63" s="2">
        <v>63</v>
      </c>
      <c r="C63" s="2" t="s">
        <v>96</v>
      </c>
      <c r="D63" s="3" t="s">
        <v>102</v>
      </c>
    </row>
    <row r="64" spans="1:4" x14ac:dyDescent="0.35">
      <c r="A64" s="2">
        <v>62</v>
      </c>
      <c r="B64" s="2">
        <v>64</v>
      </c>
      <c r="C64" s="2" t="s">
        <v>96</v>
      </c>
      <c r="D64" s="3" t="s">
        <v>103</v>
      </c>
    </row>
    <row r="65" spans="1:4" x14ac:dyDescent="0.35">
      <c r="A65" s="2">
        <v>63</v>
      </c>
      <c r="B65" s="2">
        <v>65</v>
      </c>
      <c r="C65" s="2" t="s">
        <v>96</v>
      </c>
      <c r="D65" s="3" t="s">
        <v>104</v>
      </c>
    </row>
    <row r="66" spans="1:4" x14ac:dyDescent="0.35">
      <c r="A66" s="2">
        <v>64</v>
      </c>
      <c r="B66" s="2">
        <v>66</v>
      </c>
      <c r="C66" s="2" t="s">
        <v>96</v>
      </c>
      <c r="D66" s="3" t="s">
        <v>105</v>
      </c>
    </row>
    <row r="67" spans="1:4" x14ac:dyDescent="0.35">
      <c r="A67" s="2">
        <v>65</v>
      </c>
      <c r="B67" s="2">
        <v>67</v>
      </c>
      <c r="C67" s="2" t="s">
        <v>96</v>
      </c>
      <c r="D67" s="3" t="s">
        <v>106</v>
      </c>
    </row>
    <row r="68" spans="1:4" x14ac:dyDescent="0.35">
      <c r="A68" s="2">
        <v>66</v>
      </c>
      <c r="B68" s="2">
        <v>68</v>
      </c>
      <c r="C68" s="2" t="s">
        <v>99</v>
      </c>
      <c r="D68" s="3" t="s">
        <v>107</v>
      </c>
    </row>
    <row r="69" spans="1:4" x14ac:dyDescent="0.35">
      <c r="A69" s="2">
        <v>67</v>
      </c>
      <c r="B69" s="2">
        <v>69</v>
      </c>
      <c r="C69" s="2" t="s">
        <v>108</v>
      </c>
      <c r="D69" s="3" t="s">
        <v>109</v>
      </c>
    </row>
    <row r="70" spans="1:4" x14ac:dyDescent="0.35">
      <c r="A70" s="2">
        <v>68</v>
      </c>
      <c r="B70" s="2">
        <v>70</v>
      </c>
      <c r="C70" s="2" t="s">
        <v>110</v>
      </c>
      <c r="D70" s="3" t="s">
        <v>113</v>
      </c>
    </row>
    <row r="71" spans="1:4" x14ac:dyDescent="0.35">
      <c r="A71" s="2">
        <v>69</v>
      </c>
      <c r="B71" s="2">
        <v>71</v>
      </c>
      <c r="C71" s="2" t="s">
        <v>110</v>
      </c>
      <c r="D71" s="3" t="s">
        <v>114</v>
      </c>
    </row>
    <row r="72" spans="1:4" x14ac:dyDescent="0.35">
      <c r="A72" s="2">
        <v>70</v>
      </c>
      <c r="B72" s="2">
        <v>72</v>
      </c>
      <c r="C72" s="2" t="s">
        <v>110</v>
      </c>
      <c r="D72" s="3" t="s">
        <v>111</v>
      </c>
    </row>
    <row r="73" spans="1:4" x14ac:dyDescent="0.35">
      <c r="A73" s="2">
        <v>71</v>
      </c>
      <c r="B73" s="2">
        <v>73</v>
      </c>
      <c r="C73" s="2" t="s">
        <v>110</v>
      </c>
      <c r="D73" s="3" t="s">
        <v>112</v>
      </c>
    </row>
    <row r="74" spans="1:4" x14ac:dyDescent="0.35">
      <c r="A74" s="2">
        <v>72</v>
      </c>
      <c r="B74" s="2"/>
      <c r="C74" s="2"/>
      <c r="D74" s="3"/>
    </row>
    <row r="75" spans="1:4" x14ac:dyDescent="0.35">
      <c r="A75" s="2">
        <v>73</v>
      </c>
      <c r="B75" s="2"/>
      <c r="C75" s="2"/>
      <c r="D75" s="3"/>
    </row>
    <row r="76" spans="1:4" x14ac:dyDescent="0.35">
      <c r="A76" s="2">
        <v>74</v>
      </c>
      <c r="B76" s="2"/>
      <c r="C76" s="2"/>
      <c r="D76" s="3"/>
    </row>
    <row r="77" spans="1:4" x14ac:dyDescent="0.35">
      <c r="A77" s="2"/>
      <c r="B77" s="2"/>
      <c r="C77" s="2"/>
      <c r="D7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038E-6AE9-6D47-A463-70ACFCAECF95}">
  <sheetPr>
    <pageSetUpPr fitToPage="1"/>
  </sheetPr>
  <dimension ref="A1:Q70"/>
  <sheetViews>
    <sheetView tabSelected="1" topLeftCell="A10" workbookViewId="0">
      <selection activeCell="F38" sqref="F38"/>
    </sheetView>
  </sheetViews>
  <sheetFormatPr defaultColWidth="10.90625" defaultRowHeight="14.5" x14ac:dyDescent="0.35"/>
  <cols>
    <col min="1" max="1" width="5.1796875" style="1" customWidth="1"/>
    <col min="3" max="3" width="10.6328125" customWidth="1"/>
    <col min="4" max="4" width="10" customWidth="1"/>
    <col min="6" max="6" width="10.1796875" customWidth="1"/>
    <col min="8" max="8" width="10.453125" customWidth="1"/>
    <col min="13" max="13" width="10" customWidth="1"/>
    <col min="14" max="14" width="0.36328125" customWidth="1"/>
    <col min="15" max="15" width="8.36328125" customWidth="1"/>
    <col min="17" max="17" width="6" style="35" customWidth="1"/>
  </cols>
  <sheetData>
    <row r="1" spans="1:17" ht="31" customHeight="1" x14ac:dyDescent="0.35">
      <c r="G1" s="49" t="s">
        <v>129</v>
      </c>
    </row>
    <row r="2" spans="1:17" ht="18.5" x14ac:dyDescent="0.45">
      <c r="A2" s="31"/>
      <c r="B2" s="31"/>
      <c r="C2" s="35" t="s">
        <v>25</v>
      </c>
      <c r="D2" s="26"/>
      <c r="E2" s="35" t="s">
        <v>24</v>
      </c>
      <c r="F2" s="26"/>
      <c r="G2" s="35" t="s">
        <v>18</v>
      </c>
      <c r="H2" s="35"/>
      <c r="I2" s="35" t="s">
        <v>19</v>
      </c>
      <c r="J2" s="35"/>
      <c r="K2" s="35" t="s">
        <v>20</v>
      </c>
      <c r="L2" s="35"/>
      <c r="M2" s="35" t="s">
        <v>21</v>
      </c>
      <c r="N2" s="35"/>
      <c r="O2" s="35" t="s">
        <v>26</v>
      </c>
      <c r="Q2" s="35" t="s">
        <v>128</v>
      </c>
    </row>
    <row r="3" spans="1:17" ht="15.5" x14ac:dyDescent="0.35">
      <c r="A3" s="6" t="s">
        <v>5</v>
      </c>
      <c r="B3" s="6" t="s">
        <v>0</v>
      </c>
      <c r="C3" s="15" t="s">
        <v>120</v>
      </c>
      <c r="D3" s="20" t="s">
        <v>115</v>
      </c>
      <c r="E3" s="20" t="s">
        <v>121</v>
      </c>
      <c r="F3" s="20" t="s">
        <v>116</v>
      </c>
      <c r="G3" s="20" t="s">
        <v>122</v>
      </c>
      <c r="H3" s="20" t="s">
        <v>117</v>
      </c>
      <c r="I3" s="20" t="s">
        <v>123</v>
      </c>
      <c r="J3" s="20" t="s">
        <v>118</v>
      </c>
      <c r="K3" s="20" t="s">
        <v>124</v>
      </c>
      <c r="L3" s="23" t="s">
        <v>119</v>
      </c>
      <c r="M3" s="20" t="s">
        <v>125</v>
      </c>
      <c r="N3" s="20" t="s">
        <v>15</v>
      </c>
      <c r="O3" s="20" t="s">
        <v>126</v>
      </c>
      <c r="P3" s="20" t="s">
        <v>15</v>
      </c>
      <c r="Q3" s="48" t="s">
        <v>16</v>
      </c>
    </row>
    <row r="4" spans="1:17" x14ac:dyDescent="0.35">
      <c r="A4" s="1">
        <v>1</v>
      </c>
      <c r="B4" s="1" t="str">
        <f>VLOOKUP(A4,Registration!$B$3:$C$77,2,FALSE)</f>
        <v>Men's</v>
      </c>
      <c r="C4" s="44">
        <v>3.8668981481481478E-2</v>
      </c>
      <c r="D4" s="16">
        <v>9.2060185185185175E-2</v>
      </c>
      <c r="E4" s="44">
        <f t="shared" ref="E4:E15" si="0">+D4-C4</f>
        <v>5.3391203703703698E-2</v>
      </c>
      <c r="F4" s="16">
        <v>0.12983796296296296</v>
      </c>
      <c r="G4" s="44">
        <f t="shared" ref="G4:G9" si="1">+F4-D4</f>
        <v>3.7777777777777785E-2</v>
      </c>
      <c r="H4" s="27">
        <v>0.16694444444444445</v>
      </c>
      <c r="I4" s="45">
        <f t="shared" ref="I4:I35" si="2">+H4-F4</f>
        <v>3.710648148148149E-2</v>
      </c>
      <c r="J4" s="27">
        <v>0.20850694444444443</v>
      </c>
      <c r="K4" s="45">
        <f t="shared" ref="K4:K9" si="3">+J4-H4</f>
        <v>4.1562499999999974E-2</v>
      </c>
      <c r="L4" s="24">
        <v>0.24641203703703704</v>
      </c>
      <c r="M4" s="46">
        <f t="shared" ref="M4:M9" si="4">+L4-J4</f>
        <v>3.7905092592592615E-2</v>
      </c>
      <c r="N4" s="27">
        <v>0.28567129629629628</v>
      </c>
      <c r="O4" s="47">
        <f t="shared" ref="O4:O35" si="5">+N4-L4</f>
        <v>3.9259259259259244E-2</v>
      </c>
      <c r="P4" s="27">
        <v>0.28567129629629628</v>
      </c>
      <c r="Q4" s="35">
        <v>1</v>
      </c>
    </row>
    <row r="5" spans="1:17" x14ac:dyDescent="0.35">
      <c r="A5" s="1">
        <v>8</v>
      </c>
      <c r="B5" s="1" t="str">
        <f>VLOOKUP(A5,Registration!$B$3:$C$77,2,FALSE)</f>
        <v>Men's</v>
      </c>
      <c r="C5" s="44">
        <v>3.5810185185185188E-2</v>
      </c>
      <c r="D5" s="16">
        <v>9.2939814814814822E-2</v>
      </c>
      <c r="E5" s="44">
        <f t="shared" si="0"/>
        <v>5.7129629629629634E-2</v>
      </c>
      <c r="F5" s="16">
        <v>0.13148148148148148</v>
      </c>
      <c r="G5" s="44">
        <f t="shared" si="1"/>
        <v>3.8541666666666655E-2</v>
      </c>
      <c r="H5" s="27">
        <v>0.16864583333333336</v>
      </c>
      <c r="I5" s="45">
        <f t="shared" si="2"/>
        <v>3.7164351851851879E-2</v>
      </c>
      <c r="J5" s="27">
        <v>0.21112268518518518</v>
      </c>
      <c r="K5" s="45">
        <f t="shared" si="3"/>
        <v>4.2476851851851821E-2</v>
      </c>
      <c r="L5" s="24">
        <v>0.25092592592592594</v>
      </c>
      <c r="M5" s="46">
        <f t="shared" si="4"/>
        <v>3.9803240740740764E-2</v>
      </c>
      <c r="N5" s="27">
        <v>0.2883101851851852</v>
      </c>
      <c r="O5" s="47">
        <f t="shared" si="5"/>
        <v>3.7384259259259256E-2</v>
      </c>
      <c r="P5" s="27">
        <v>0.2883101851851852</v>
      </c>
      <c r="Q5" s="35">
        <v>2</v>
      </c>
    </row>
    <row r="6" spans="1:17" x14ac:dyDescent="0.35">
      <c r="A6" s="1">
        <v>3</v>
      </c>
      <c r="B6" s="1" t="str">
        <f>VLOOKUP(A6,Registration!$B$3:$C$77,2,FALSE)</f>
        <v>Men's</v>
      </c>
      <c r="C6" s="44">
        <v>4.1180555555555554E-2</v>
      </c>
      <c r="D6" s="16">
        <v>9.5636574074074068E-2</v>
      </c>
      <c r="E6" s="44">
        <f t="shared" si="0"/>
        <v>5.4456018518518515E-2</v>
      </c>
      <c r="F6" s="16">
        <v>0.13800925925925925</v>
      </c>
      <c r="G6" s="44">
        <f t="shared" si="1"/>
        <v>4.237268518518518E-2</v>
      </c>
      <c r="H6" s="27">
        <v>0.18074074074074076</v>
      </c>
      <c r="I6" s="45">
        <f t="shared" si="2"/>
        <v>4.2731481481481509E-2</v>
      </c>
      <c r="J6" s="27">
        <v>0.22912037037037036</v>
      </c>
      <c r="K6" s="45">
        <f t="shared" si="3"/>
        <v>4.8379629629629606E-2</v>
      </c>
      <c r="L6" s="24">
        <v>0.26944444444444443</v>
      </c>
      <c r="M6" s="46">
        <f t="shared" si="4"/>
        <v>4.0324074074074068E-2</v>
      </c>
      <c r="N6" s="27">
        <v>0.3122685185185185</v>
      </c>
      <c r="O6" s="47">
        <f t="shared" si="5"/>
        <v>4.282407407407407E-2</v>
      </c>
      <c r="P6" s="27">
        <v>0.3122685185185185</v>
      </c>
      <c r="Q6" s="35">
        <v>3</v>
      </c>
    </row>
    <row r="7" spans="1:17" x14ac:dyDescent="0.35">
      <c r="A7" s="1">
        <v>9</v>
      </c>
      <c r="B7" s="1" t="str">
        <f>VLOOKUP(A7,Registration!$B$3:$C$77,2,FALSE)</f>
        <v>Men's</v>
      </c>
      <c r="C7" s="44">
        <v>3.9814814814814817E-2</v>
      </c>
      <c r="D7" s="16">
        <v>9.5613425925925921E-2</v>
      </c>
      <c r="E7" s="44">
        <f t="shared" si="0"/>
        <v>5.5798611111111104E-2</v>
      </c>
      <c r="F7" s="16">
        <v>0.13905092592592591</v>
      </c>
      <c r="G7" s="44">
        <f t="shared" si="1"/>
        <v>4.343749999999999E-2</v>
      </c>
      <c r="H7" s="27">
        <v>0.1852546296296296</v>
      </c>
      <c r="I7" s="45">
        <f t="shared" si="2"/>
        <v>4.6203703703703691E-2</v>
      </c>
      <c r="J7" s="27">
        <v>0.23431712962962961</v>
      </c>
      <c r="K7" s="45">
        <f t="shared" si="3"/>
        <v>4.9062500000000009E-2</v>
      </c>
      <c r="L7" s="24">
        <v>0.27340277777777777</v>
      </c>
      <c r="M7" s="46">
        <f t="shared" si="4"/>
        <v>3.9085648148148161E-2</v>
      </c>
      <c r="N7" s="27">
        <v>0.31905092592592593</v>
      </c>
      <c r="O7" s="47">
        <f t="shared" si="5"/>
        <v>4.564814814814816E-2</v>
      </c>
      <c r="P7" s="27">
        <v>0.31905092592592593</v>
      </c>
      <c r="Q7" s="35">
        <v>4</v>
      </c>
    </row>
    <row r="8" spans="1:17" x14ac:dyDescent="0.35">
      <c r="A8" s="1">
        <v>6</v>
      </c>
      <c r="B8" s="1" t="str">
        <f>VLOOKUP(A8,Registration!$B$3:$C$77,2,FALSE)</f>
        <v>Men's</v>
      </c>
      <c r="C8" s="44">
        <v>4.010416666666667E-2</v>
      </c>
      <c r="D8" s="16">
        <v>0.10967592592592591</v>
      </c>
      <c r="E8" s="44">
        <f t="shared" si="0"/>
        <v>6.9571759259259236E-2</v>
      </c>
      <c r="F8" s="16">
        <v>0.15026620370370369</v>
      </c>
      <c r="G8" s="44">
        <f t="shared" si="1"/>
        <v>4.0590277777777781E-2</v>
      </c>
      <c r="H8" s="27">
        <v>0.2008912037037037</v>
      </c>
      <c r="I8" s="45">
        <f t="shared" si="2"/>
        <v>5.0625000000000003E-2</v>
      </c>
      <c r="J8" s="27">
        <v>0.2535648148148148</v>
      </c>
      <c r="K8" s="45">
        <f t="shared" si="3"/>
        <v>5.2673611111111102E-2</v>
      </c>
      <c r="L8" s="24">
        <v>0.30778935185185186</v>
      </c>
      <c r="M8" s="46">
        <f t="shared" si="4"/>
        <v>5.4224537037037057E-2</v>
      </c>
      <c r="N8" s="27">
        <v>0.35607638888888887</v>
      </c>
      <c r="O8" s="47">
        <f t="shared" si="5"/>
        <v>4.8287037037037017E-2</v>
      </c>
      <c r="P8" s="27">
        <v>0.35607638888888887</v>
      </c>
      <c r="Q8" s="35">
        <v>5</v>
      </c>
    </row>
    <row r="9" spans="1:17" x14ac:dyDescent="0.35">
      <c r="A9" s="1">
        <v>52</v>
      </c>
      <c r="B9" s="1" t="str">
        <f>VLOOKUP(A9,Registration!$B$3:$C$77,2,FALSE)</f>
        <v>Men's</v>
      </c>
      <c r="C9" s="44">
        <v>4.9525462962962959E-2</v>
      </c>
      <c r="D9" s="16">
        <v>0.10993055555555555</v>
      </c>
      <c r="E9" s="44">
        <f t="shared" si="0"/>
        <v>6.0405092592592587E-2</v>
      </c>
      <c r="F9" s="16">
        <v>0.16957175925925927</v>
      </c>
      <c r="G9" s="44">
        <f t="shared" si="1"/>
        <v>5.9641203703703724E-2</v>
      </c>
      <c r="H9" s="27">
        <v>0.21902777777777779</v>
      </c>
      <c r="I9" s="45">
        <f t="shared" si="2"/>
        <v>4.9456018518518524E-2</v>
      </c>
      <c r="J9" s="27">
        <v>0.27371527777777777</v>
      </c>
      <c r="K9" s="45">
        <f t="shared" si="3"/>
        <v>5.4687499999999972E-2</v>
      </c>
      <c r="L9" s="24">
        <v>0.32253472222222224</v>
      </c>
      <c r="M9" s="46">
        <f t="shared" si="4"/>
        <v>4.8819444444444471E-2</v>
      </c>
      <c r="N9" s="27">
        <v>0.36814814814814811</v>
      </c>
      <c r="O9" s="47">
        <f t="shared" si="5"/>
        <v>4.5613425925925877E-2</v>
      </c>
      <c r="P9" s="27">
        <v>0.36814814814814811</v>
      </c>
      <c r="Q9" s="35">
        <v>6</v>
      </c>
    </row>
    <row r="10" spans="1:17" x14ac:dyDescent="0.35">
      <c r="A10" s="1">
        <v>4</v>
      </c>
      <c r="B10" s="1" t="str">
        <f>VLOOKUP(A10,Registration!$B$3:$C$77,2,FALSE)</f>
        <v>Men's</v>
      </c>
      <c r="C10" s="44">
        <v>5.2986111111111116E-2</v>
      </c>
      <c r="D10" s="16">
        <v>0.13472222222222222</v>
      </c>
      <c r="E10" s="44">
        <f t="shared" si="0"/>
        <v>8.1736111111111093E-2</v>
      </c>
      <c r="F10" s="16"/>
      <c r="G10" s="44"/>
      <c r="H10" s="27">
        <v>0.25039351851851849</v>
      </c>
      <c r="I10" s="45">
        <f t="shared" si="2"/>
        <v>0.25039351851851849</v>
      </c>
      <c r="J10" s="27"/>
      <c r="K10" s="45"/>
      <c r="L10" s="24">
        <v>0.38075231481481481</v>
      </c>
      <c r="M10" s="46"/>
      <c r="N10" s="27">
        <v>0.44807870370370373</v>
      </c>
      <c r="O10" s="47">
        <f t="shared" si="5"/>
        <v>6.7326388888888922E-2</v>
      </c>
      <c r="P10" s="27">
        <v>0.44807870370370373</v>
      </c>
      <c r="Q10" s="35">
        <v>7</v>
      </c>
    </row>
    <row r="11" spans="1:17" x14ac:dyDescent="0.35">
      <c r="A11" s="1">
        <v>7</v>
      </c>
      <c r="B11" s="1" t="str">
        <f>VLOOKUP(A11,Registration!$B$3:$C$77,2,FALSE)</f>
        <v>Men's</v>
      </c>
      <c r="C11" s="44">
        <v>6.069444444444444E-2</v>
      </c>
      <c r="D11" s="16">
        <v>0.15577546296296296</v>
      </c>
      <c r="E11" s="44">
        <f t="shared" si="0"/>
        <v>9.5081018518518523E-2</v>
      </c>
      <c r="F11" s="16">
        <v>0.21635416666666665</v>
      </c>
      <c r="G11" s="44">
        <f t="shared" ref="G11:G42" si="6">+F11-D11</f>
        <v>6.057870370370369E-2</v>
      </c>
      <c r="H11" s="27">
        <v>0.2845138888888889</v>
      </c>
      <c r="I11" s="45">
        <f t="shared" si="2"/>
        <v>6.8159722222222247E-2</v>
      </c>
      <c r="J11" s="27">
        <v>0.35121527777777778</v>
      </c>
      <c r="K11" s="45">
        <f t="shared" ref="K11:K50" si="7">+J11-H11</f>
        <v>6.670138888888888E-2</v>
      </c>
      <c r="L11" s="24">
        <v>0.40960648148148149</v>
      </c>
      <c r="M11" s="46">
        <f t="shared" ref="M11:M50" si="8">+L11-J11</f>
        <v>5.8391203703703709E-2</v>
      </c>
      <c r="N11" s="27">
        <v>0.48060185185185184</v>
      </c>
      <c r="O11" s="47">
        <f t="shared" si="5"/>
        <v>7.0995370370370348E-2</v>
      </c>
      <c r="P11" s="27">
        <v>0.48060185185185184</v>
      </c>
      <c r="Q11" s="35">
        <v>8</v>
      </c>
    </row>
    <row r="12" spans="1:17" x14ac:dyDescent="0.35">
      <c r="A12" s="1">
        <v>5</v>
      </c>
      <c r="B12" s="1" t="str">
        <f>VLOOKUP(A12,Registration!$B$3:$C$77,2,FALSE)</f>
        <v>Men's</v>
      </c>
      <c r="C12" s="44">
        <v>7.3761574074074077E-2</v>
      </c>
      <c r="D12" s="16">
        <v>0.15643518518518518</v>
      </c>
      <c r="E12" s="44">
        <f t="shared" si="0"/>
        <v>8.2673611111111101E-2</v>
      </c>
      <c r="F12" s="16">
        <v>0.21969907407407407</v>
      </c>
      <c r="G12" s="44">
        <f t="shared" si="6"/>
        <v>6.3263888888888897E-2</v>
      </c>
      <c r="H12" s="27">
        <v>0.29878472222222224</v>
      </c>
      <c r="I12" s="45">
        <f t="shared" si="2"/>
        <v>7.9085648148148169E-2</v>
      </c>
      <c r="J12" s="27">
        <v>0.36528935185185185</v>
      </c>
      <c r="K12" s="45">
        <f t="shared" si="7"/>
        <v>6.6504629629629608E-2</v>
      </c>
      <c r="L12" s="24">
        <v>0.41709490740740746</v>
      </c>
      <c r="M12" s="46">
        <f t="shared" si="8"/>
        <v>5.1805555555555605E-2</v>
      </c>
      <c r="N12" s="27">
        <v>0.48466435185185186</v>
      </c>
      <c r="O12" s="47">
        <f t="shared" si="5"/>
        <v>6.7569444444444404E-2</v>
      </c>
      <c r="P12" s="27">
        <v>0.48466435185185186</v>
      </c>
      <c r="Q12" s="35">
        <v>9</v>
      </c>
    </row>
    <row r="13" spans="1:17" x14ac:dyDescent="0.35">
      <c r="A13" s="1">
        <v>10</v>
      </c>
      <c r="B13" s="1" t="str">
        <f>VLOOKUP(A13,Registration!$B$3:$C$77,2,FALSE)</f>
        <v>Men40+</v>
      </c>
      <c r="C13" s="44">
        <v>4.0428240740740744E-2</v>
      </c>
      <c r="D13" s="16">
        <v>0.10359953703703705</v>
      </c>
      <c r="E13" s="44">
        <f t="shared" si="0"/>
        <v>6.3171296296296309E-2</v>
      </c>
      <c r="F13" s="16">
        <v>0.1449189814814815</v>
      </c>
      <c r="G13" s="44">
        <f t="shared" si="6"/>
        <v>4.131944444444445E-2</v>
      </c>
      <c r="H13" s="27">
        <v>0.18888888888888888</v>
      </c>
      <c r="I13" s="45">
        <f t="shared" si="2"/>
        <v>4.3969907407407388E-2</v>
      </c>
      <c r="J13" s="27">
        <v>0.23578703703703704</v>
      </c>
      <c r="K13" s="45">
        <f t="shared" si="7"/>
        <v>4.6898148148148161E-2</v>
      </c>
      <c r="L13" s="24">
        <v>0.27435185185185185</v>
      </c>
      <c r="M13" s="46">
        <f t="shared" si="8"/>
        <v>3.8564814814814802E-2</v>
      </c>
      <c r="N13" s="27">
        <v>0.31982638888888887</v>
      </c>
      <c r="O13" s="47">
        <f t="shared" si="5"/>
        <v>4.5474537037037022E-2</v>
      </c>
      <c r="P13" s="27">
        <v>0.31982638888888887</v>
      </c>
      <c r="Q13" s="35">
        <v>1</v>
      </c>
    </row>
    <row r="14" spans="1:17" x14ac:dyDescent="0.35">
      <c r="A14" s="1">
        <v>12</v>
      </c>
      <c r="B14" s="1" t="str">
        <f>VLOOKUP(A14,Registration!$B$3:$C$77,2,FALSE)</f>
        <v>Men50+</v>
      </c>
      <c r="C14" s="44">
        <v>5.3587962962962969E-2</v>
      </c>
      <c r="D14" s="16">
        <v>0.12387731481481483</v>
      </c>
      <c r="E14" s="44">
        <f t="shared" si="0"/>
        <v>7.0289351851851867E-2</v>
      </c>
      <c r="F14" s="16">
        <v>0.18269675925925924</v>
      </c>
      <c r="G14" s="44">
        <f t="shared" si="6"/>
        <v>5.881944444444441E-2</v>
      </c>
      <c r="H14" s="27">
        <v>0.23659722222222224</v>
      </c>
      <c r="I14" s="45">
        <f t="shared" si="2"/>
        <v>5.3900462962962997E-2</v>
      </c>
      <c r="J14" s="27">
        <v>0.29834490740740743</v>
      </c>
      <c r="K14" s="45">
        <f t="shared" si="7"/>
        <v>6.1747685185185197E-2</v>
      </c>
      <c r="L14" s="24">
        <v>0.34597222222222218</v>
      </c>
      <c r="M14" s="46">
        <f t="shared" si="8"/>
        <v>4.7627314814814747E-2</v>
      </c>
      <c r="N14" s="27">
        <v>0.40531249999999996</v>
      </c>
      <c r="O14" s="47">
        <f t="shared" si="5"/>
        <v>5.9340277777777783E-2</v>
      </c>
      <c r="P14" s="27">
        <v>0.40531249999999996</v>
      </c>
      <c r="Q14" s="35">
        <v>1</v>
      </c>
    </row>
    <row r="15" spans="1:17" x14ac:dyDescent="0.35">
      <c r="A15" s="1">
        <v>11</v>
      </c>
      <c r="B15" s="1" t="str">
        <f>VLOOKUP(A15,Registration!$B$3:$C$77,2,FALSE)</f>
        <v>Men50+</v>
      </c>
      <c r="C15" s="44">
        <v>5.2812500000000005E-2</v>
      </c>
      <c r="D15" s="16">
        <v>0.12914351851851852</v>
      </c>
      <c r="E15" s="44">
        <f t="shared" si="0"/>
        <v>7.6331018518518506E-2</v>
      </c>
      <c r="F15" s="16">
        <v>0.18417824074074074</v>
      </c>
      <c r="G15" s="44">
        <f t="shared" si="6"/>
        <v>5.5034722222222221E-2</v>
      </c>
      <c r="H15" s="27">
        <v>0.24055555555555555</v>
      </c>
      <c r="I15" s="45">
        <f t="shared" si="2"/>
        <v>5.6377314814814811E-2</v>
      </c>
      <c r="J15" s="27">
        <v>0.3006597222222222</v>
      </c>
      <c r="K15" s="45">
        <f t="shared" si="7"/>
        <v>6.0104166666666653E-2</v>
      </c>
      <c r="L15" s="24">
        <v>0.35335648148148152</v>
      </c>
      <c r="M15" s="46">
        <f t="shared" si="8"/>
        <v>5.2696759259259318E-2</v>
      </c>
      <c r="N15" s="27">
        <v>0.40814814814814815</v>
      </c>
      <c r="O15" s="47">
        <f t="shared" si="5"/>
        <v>5.4791666666666627E-2</v>
      </c>
      <c r="P15" s="27">
        <v>0.40814814814814815</v>
      </c>
      <c r="Q15" s="35">
        <v>2</v>
      </c>
    </row>
    <row r="16" spans="1:17" x14ac:dyDescent="0.35">
      <c r="A16" s="1">
        <v>13</v>
      </c>
      <c r="B16" s="1" t="s">
        <v>50</v>
      </c>
      <c r="C16" s="44"/>
      <c r="D16" s="16">
        <v>0.1277777777777778</v>
      </c>
      <c r="E16" s="44"/>
      <c r="F16" s="16">
        <v>0.18565972222222224</v>
      </c>
      <c r="G16" s="44">
        <f t="shared" si="6"/>
        <v>5.7881944444444444E-2</v>
      </c>
      <c r="H16" s="27">
        <v>0.24809027777777778</v>
      </c>
      <c r="I16" s="45">
        <f t="shared" si="2"/>
        <v>6.2430555555555545E-2</v>
      </c>
      <c r="J16" s="27">
        <v>0.32709490740740738</v>
      </c>
      <c r="K16" s="45">
        <f t="shared" si="7"/>
        <v>7.9004629629629591E-2</v>
      </c>
      <c r="L16" s="24">
        <v>0.39461805555555557</v>
      </c>
      <c r="M16" s="46">
        <f t="shared" si="8"/>
        <v>6.7523148148148193E-2</v>
      </c>
      <c r="N16" s="27">
        <v>0.47016203703703702</v>
      </c>
      <c r="O16" s="47">
        <f t="shared" si="5"/>
        <v>7.5543981481481448E-2</v>
      </c>
      <c r="P16" s="27">
        <v>0.47016203703703702</v>
      </c>
      <c r="Q16" s="35">
        <v>1</v>
      </c>
    </row>
    <row r="17" spans="1:17" x14ac:dyDescent="0.35">
      <c r="A17" s="1">
        <v>18</v>
      </c>
      <c r="B17" s="1" t="str">
        <f>VLOOKUP(A17,Registration!$B$3:$C$77,2,FALSE)</f>
        <v>Mixed</v>
      </c>
      <c r="C17" s="44">
        <v>4.2048611111111113E-2</v>
      </c>
      <c r="D17" s="16">
        <v>0.10148148148148149</v>
      </c>
      <c r="E17" s="44">
        <f t="shared" ref="E17:E36" si="9">+D17-C17</f>
        <v>5.9432870370370379E-2</v>
      </c>
      <c r="F17" s="16">
        <v>0.14891203703703704</v>
      </c>
      <c r="G17" s="44">
        <f t="shared" si="6"/>
        <v>4.7430555555555545E-2</v>
      </c>
      <c r="H17" s="27">
        <v>0.19232638888888889</v>
      </c>
      <c r="I17" s="45">
        <f t="shared" si="2"/>
        <v>4.3414351851851857E-2</v>
      </c>
      <c r="J17" s="27">
        <v>0.24011574074074074</v>
      </c>
      <c r="K17" s="45">
        <f t="shared" si="7"/>
        <v>4.7789351851851847E-2</v>
      </c>
      <c r="L17" s="24">
        <v>0.2810300925925926</v>
      </c>
      <c r="M17" s="46">
        <f t="shared" si="8"/>
        <v>4.0914351851851855E-2</v>
      </c>
      <c r="N17" s="27">
        <v>0.33082175925925927</v>
      </c>
      <c r="O17" s="47">
        <f t="shared" si="5"/>
        <v>4.9791666666666679E-2</v>
      </c>
      <c r="P17" s="27">
        <v>0.33082175925925927</v>
      </c>
      <c r="Q17" s="35">
        <v>1</v>
      </c>
    </row>
    <row r="18" spans="1:17" x14ac:dyDescent="0.35">
      <c r="A18" s="1">
        <v>50</v>
      </c>
      <c r="B18" s="1" t="str">
        <f>VLOOKUP(A18,Registration!$B$3:$C$77,2,FALSE)</f>
        <v>Mixed</v>
      </c>
      <c r="C18" s="44">
        <v>4.5648148148148153E-2</v>
      </c>
      <c r="D18" s="16">
        <v>0.11306712962962963</v>
      </c>
      <c r="E18" s="44">
        <f t="shared" si="9"/>
        <v>6.7418981481481483E-2</v>
      </c>
      <c r="F18" s="16">
        <v>0.16291666666666668</v>
      </c>
      <c r="G18" s="44">
        <f t="shared" si="6"/>
        <v>4.9849537037037053E-2</v>
      </c>
      <c r="H18" s="27">
        <v>0.20570601851851852</v>
      </c>
      <c r="I18" s="45">
        <f t="shared" si="2"/>
        <v>4.2789351851851842E-2</v>
      </c>
      <c r="J18" s="27">
        <v>0.25892361111111112</v>
      </c>
      <c r="K18" s="45">
        <f t="shared" si="7"/>
        <v>5.3217592592592594E-2</v>
      </c>
      <c r="L18" s="24">
        <v>0.30311342592592594</v>
      </c>
      <c r="M18" s="46">
        <f t="shared" si="8"/>
        <v>4.4189814814814821E-2</v>
      </c>
      <c r="N18" s="27">
        <v>0.35268518518518516</v>
      </c>
      <c r="O18" s="47">
        <f t="shared" si="5"/>
        <v>4.9571759259259218E-2</v>
      </c>
      <c r="P18" s="27">
        <v>0.35268518518518516</v>
      </c>
      <c r="Q18" s="35">
        <v>2</v>
      </c>
    </row>
    <row r="19" spans="1:17" x14ac:dyDescent="0.35">
      <c r="A19" s="1">
        <v>37</v>
      </c>
      <c r="B19" s="1" t="str">
        <f>VLOOKUP(A19,Registration!$B$3:$C$77,2,FALSE)</f>
        <v>Mixed</v>
      </c>
      <c r="C19" s="44">
        <v>5.7465277777777775E-2</v>
      </c>
      <c r="D19" s="16">
        <v>0.11680555555555555</v>
      </c>
      <c r="E19" s="44">
        <f t="shared" si="9"/>
        <v>5.9340277777777777E-2</v>
      </c>
      <c r="F19" s="16">
        <v>0.16746527777777778</v>
      </c>
      <c r="G19" s="44">
        <f t="shared" si="6"/>
        <v>5.0659722222222231E-2</v>
      </c>
      <c r="H19" s="27">
        <v>0.21376157407407406</v>
      </c>
      <c r="I19" s="45">
        <f t="shared" si="2"/>
        <v>4.629629629629628E-2</v>
      </c>
      <c r="J19" s="27">
        <v>0.31840277777777776</v>
      </c>
      <c r="K19" s="45">
        <f t="shared" si="7"/>
        <v>0.10464120370370369</v>
      </c>
      <c r="L19" s="24">
        <v>0.35631944444444441</v>
      </c>
      <c r="M19" s="46">
        <f t="shared" si="8"/>
        <v>3.7916666666666654E-2</v>
      </c>
      <c r="N19" s="27">
        <v>0.37107638888888889</v>
      </c>
      <c r="O19" s="47">
        <f t="shared" si="5"/>
        <v>1.4756944444444475E-2</v>
      </c>
      <c r="P19" s="27">
        <v>0.37107638888888889</v>
      </c>
      <c r="Q19" s="35">
        <v>3</v>
      </c>
    </row>
    <row r="20" spans="1:17" x14ac:dyDescent="0.35">
      <c r="A20" s="1">
        <v>26</v>
      </c>
      <c r="B20" s="1" t="str">
        <f>VLOOKUP(A20,Registration!$B$3:$C$77,2,FALSE)</f>
        <v>Mixed</v>
      </c>
      <c r="C20" s="44">
        <v>4.3298611111111107E-2</v>
      </c>
      <c r="D20" s="16">
        <v>0.11496527777777778</v>
      </c>
      <c r="E20" s="44">
        <f t="shared" si="9"/>
        <v>7.166666666666667E-2</v>
      </c>
      <c r="F20" s="16">
        <v>0.16376157407407407</v>
      </c>
      <c r="G20" s="44">
        <f t="shared" si="6"/>
        <v>4.8796296296296296E-2</v>
      </c>
      <c r="H20" s="27">
        <v>0.21434027777777778</v>
      </c>
      <c r="I20" s="45">
        <f t="shared" si="2"/>
        <v>5.0578703703703709E-2</v>
      </c>
      <c r="J20" s="27">
        <v>0.2757175925925926</v>
      </c>
      <c r="K20" s="45">
        <f t="shared" si="7"/>
        <v>6.1377314814814815E-2</v>
      </c>
      <c r="L20" s="24">
        <v>0.32079861111111113</v>
      </c>
      <c r="M20" s="46">
        <f t="shared" si="8"/>
        <v>4.5081018518518534E-2</v>
      </c>
      <c r="N20" s="27">
        <v>0.37240740740740735</v>
      </c>
      <c r="O20" s="47">
        <f t="shared" si="5"/>
        <v>5.1608796296296222E-2</v>
      </c>
      <c r="P20" s="27">
        <v>0.37240740740740735</v>
      </c>
      <c r="Q20" s="35">
        <v>4</v>
      </c>
    </row>
    <row r="21" spans="1:17" x14ac:dyDescent="0.35">
      <c r="A21" s="1">
        <v>43</v>
      </c>
      <c r="B21" s="1" t="str">
        <f>VLOOKUP(A21,Registration!$B$3:$C$77,2,FALSE)</f>
        <v>Mixed</v>
      </c>
      <c r="C21" s="44">
        <v>4.6921296296296294E-2</v>
      </c>
      <c r="D21" s="16">
        <v>0.1190625</v>
      </c>
      <c r="E21" s="44">
        <f t="shared" si="9"/>
        <v>7.2141203703703707E-2</v>
      </c>
      <c r="F21" s="16">
        <v>0.170625</v>
      </c>
      <c r="G21" s="44">
        <f t="shared" si="6"/>
        <v>5.1562499999999997E-2</v>
      </c>
      <c r="H21" s="27">
        <v>0.22201388888888887</v>
      </c>
      <c r="I21" s="45">
        <f t="shared" si="2"/>
        <v>5.1388888888888873E-2</v>
      </c>
      <c r="J21" s="27">
        <v>0.28664351851851849</v>
      </c>
      <c r="K21" s="45">
        <f t="shared" si="7"/>
        <v>6.462962962962962E-2</v>
      </c>
      <c r="L21" s="24">
        <v>0.33872685185185186</v>
      </c>
      <c r="M21" s="46">
        <f t="shared" si="8"/>
        <v>5.208333333333337E-2</v>
      </c>
      <c r="N21" s="27">
        <v>0.39034722222222223</v>
      </c>
      <c r="O21" s="47">
        <f t="shared" si="5"/>
        <v>5.1620370370370372E-2</v>
      </c>
      <c r="P21" s="27">
        <v>0.39034722222222223</v>
      </c>
      <c r="Q21" s="35">
        <v>5</v>
      </c>
    </row>
    <row r="22" spans="1:17" x14ac:dyDescent="0.35">
      <c r="A22" s="1">
        <v>25</v>
      </c>
      <c r="B22" s="1" t="str">
        <f>VLOOKUP(A22,Registration!$B$3:$C$77,2,FALSE)</f>
        <v>Mixed</v>
      </c>
      <c r="C22" s="44">
        <v>5.0567129629629635E-2</v>
      </c>
      <c r="D22" s="16">
        <v>0.11482638888888889</v>
      </c>
      <c r="E22" s="44">
        <f t="shared" si="9"/>
        <v>6.4259259259259266E-2</v>
      </c>
      <c r="F22" s="16">
        <v>0.17090277777777776</v>
      </c>
      <c r="G22" s="44">
        <f t="shared" si="6"/>
        <v>5.607638888888887E-2</v>
      </c>
      <c r="H22" s="27">
        <v>0.22849537037037038</v>
      </c>
      <c r="I22" s="45">
        <f t="shared" si="2"/>
        <v>5.7592592592592612E-2</v>
      </c>
      <c r="J22" s="27">
        <v>0.2840625</v>
      </c>
      <c r="K22" s="45">
        <f t="shared" si="7"/>
        <v>5.5567129629629619E-2</v>
      </c>
      <c r="L22" s="24">
        <v>0.32769675925925928</v>
      </c>
      <c r="M22" s="46">
        <f t="shared" si="8"/>
        <v>4.3634259259259289E-2</v>
      </c>
      <c r="N22" s="27">
        <v>0.39737268518518515</v>
      </c>
      <c r="O22" s="47">
        <f t="shared" si="5"/>
        <v>6.9675925925925863E-2</v>
      </c>
      <c r="P22" s="27">
        <v>0.39737268518518515</v>
      </c>
      <c r="Q22" s="35">
        <v>6</v>
      </c>
    </row>
    <row r="23" spans="1:17" x14ac:dyDescent="0.35">
      <c r="A23" s="1">
        <v>24</v>
      </c>
      <c r="B23" s="1" t="str">
        <f>VLOOKUP(A23,Registration!$B$3:$C$77,2,FALSE)</f>
        <v>Mixed</v>
      </c>
      <c r="C23" s="44">
        <v>4.5543981481481477E-2</v>
      </c>
      <c r="D23" s="16">
        <v>0.11920138888888888</v>
      </c>
      <c r="E23" s="44">
        <f t="shared" si="9"/>
        <v>7.3657407407407408E-2</v>
      </c>
      <c r="F23" s="16">
        <v>0.17459490740740743</v>
      </c>
      <c r="G23" s="44">
        <f t="shared" si="6"/>
        <v>5.539351851851855E-2</v>
      </c>
      <c r="H23" s="27">
        <v>0.23138888888888889</v>
      </c>
      <c r="I23" s="45">
        <f t="shared" si="2"/>
        <v>5.6793981481481459E-2</v>
      </c>
      <c r="J23" s="27">
        <v>0.29696759259259259</v>
      </c>
      <c r="K23" s="45">
        <f t="shared" si="7"/>
        <v>6.5578703703703695E-2</v>
      </c>
      <c r="L23" s="24">
        <v>0.34356481481481477</v>
      </c>
      <c r="M23" s="46">
        <f t="shared" si="8"/>
        <v>4.6597222222222179E-2</v>
      </c>
      <c r="N23" s="27">
        <v>0.39759259259259255</v>
      </c>
      <c r="O23" s="47">
        <f t="shared" si="5"/>
        <v>5.4027777777777786E-2</v>
      </c>
      <c r="P23" s="27">
        <v>0.39759259259259255</v>
      </c>
      <c r="Q23" s="35">
        <v>7</v>
      </c>
    </row>
    <row r="24" spans="1:17" x14ac:dyDescent="0.35">
      <c r="A24" s="1">
        <v>35</v>
      </c>
      <c r="B24" s="1" t="str">
        <f>VLOOKUP(A24,Registration!$B$3:$C$77,2,FALSE)</f>
        <v>Mixed</v>
      </c>
      <c r="C24" s="44">
        <v>5.1805555555555556E-2</v>
      </c>
      <c r="D24" s="16">
        <v>0.12461805555555555</v>
      </c>
      <c r="E24" s="44">
        <f t="shared" si="9"/>
        <v>7.2812500000000002E-2</v>
      </c>
      <c r="F24" s="16">
        <v>0.18027777777777779</v>
      </c>
      <c r="G24" s="44">
        <f t="shared" si="6"/>
        <v>5.5659722222222235E-2</v>
      </c>
      <c r="H24" s="27">
        <v>0.23408564814814814</v>
      </c>
      <c r="I24" s="45">
        <f t="shared" si="2"/>
        <v>5.3807870370370353E-2</v>
      </c>
      <c r="J24" s="27">
        <v>0.30054398148148148</v>
      </c>
      <c r="K24" s="45">
        <f t="shared" si="7"/>
        <v>6.6458333333333341E-2</v>
      </c>
      <c r="L24" s="24">
        <v>0.35234953703703703</v>
      </c>
      <c r="M24" s="46">
        <f t="shared" si="8"/>
        <v>5.1805555555555549E-2</v>
      </c>
      <c r="N24" s="27">
        <v>0.40371527777777777</v>
      </c>
      <c r="O24" s="47">
        <f t="shared" si="5"/>
        <v>5.136574074074074E-2</v>
      </c>
      <c r="P24" s="27">
        <v>0.40371527777777777</v>
      </c>
      <c r="Q24" s="35">
        <v>8</v>
      </c>
    </row>
    <row r="25" spans="1:17" x14ac:dyDescent="0.35">
      <c r="A25" s="1">
        <v>39</v>
      </c>
      <c r="B25" s="1" t="str">
        <f>VLOOKUP(A25,Registration!$B$3:$C$77,2,FALSE)</f>
        <v>Mixed</v>
      </c>
      <c r="C25" s="44">
        <v>5.9606481481481483E-2</v>
      </c>
      <c r="D25" s="16">
        <v>0.13903935185185184</v>
      </c>
      <c r="E25" s="44">
        <f t="shared" si="9"/>
        <v>7.9432870370370362E-2</v>
      </c>
      <c r="F25" s="16">
        <v>0.19451388888888888</v>
      </c>
      <c r="G25" s="44">
        <f t="shared" si="6"/>
        <v>5.5474537037037031E-2</v>
      </c>
      <c r="H25" s="27">
        <v>0.24859953703703705</v>
      </c>
      <c r="I25" s="45">
        <f t="shared" si="2"/>
        <v>5.4085648148148174E-2</v>
      </c>
      <c r="J25" s="27">
        <v>0.30733796296296295</v>
      </c>
      <c r="K25" s="45">
        <f t="shared" si="7"/>
        <v>5.8738425925925902E-2</v>
      </c>
      <c r="L25" s="24">
        <v>0.34739583333333335</v>
      </c>
      <c r="M25" s="46">
        <f t="shared" si="8"/>
        <v>4.0057870370370396E-2</v>
      </c>
      <c r="N25" s="27">
        <v>0.40445601851851848</v>
      </c>
      <c r="O25" s="47">
        <f t="shared" si="5"/>
        <v>5.706018518518513E-2</v>
      </c>
      <c r="P25" s="27">
        <v>0.40445601851851848</v>
      </c>
      <c r="Q25" s="35">
        <v>9</v>
      </c>
    </row>
    <row r="26" spans="1:17" x14ac:dyDescent="0.35">
      <c r="A26" s="1">
        <v>34</v>
      </c>
      <c r="B26" s="1" t="str">
        <f>VLOOKUP(A26,Registration!$B$3:$C$77,2,FALSE)</f>
        <v>Mixed</v>
      </c>
      <c r="C26" s="44">
        <v>5.5081018518518515E-2</v>
      </c>
      <c r="D26" s="16">
        <v>0.13002314814814817</v>
      </c>
      <c r="E26" s="44">
        <f t="shared" si="9"/>
        <v>7.494212962962965E-2</v>
      </c>
      <c r="F26" s="16">
        <v>0.19055555555555556</v>
      </c>
      <c r="G26" s="44">
        <f t="shared" si="6"/>
        <v>6.0532407407407396E-2</v>
      </c>
      <c r="H26" s="27">
        <v>0.24581018518518519</v>
      </c>
      <c r="I26" s="45">
        <f t="shared" si="2"/>
        <v>5.5254629629629626E-2</v>
      </c>
      <c r="J26" s="27">
        <v>0.30585648148148148</v>
      </c>
      <c r="K26" s="45">
        <f t="shared" si="7"/>
        <v>6.0046296296296292E-2</v>
      </c>
      <c r="L26" s="24">
        <v>0.35538194444444443</v>
      </c>
      <c r="M26" s="46">
        <f t="shared" si="8"/>
        <v>4.9525462962962952E-2</v>
      </c>
      <c r="N26" s="27">
        <v>0.40865740740740741</v>
      </c>
      <c r="O26" s="47">
        <f t="shared" si="5"/>
        <v>5.3275462962962983E-2</v>
      </c>
      <c r="P26" s="27">
        <v>0.40865740740740741</v>
      </c>
      <c r="Q26" s="35">
        <v>10</v>
      </c>
    </row>
    <row r="27" spans="1:17" x14ac:dyDescent="0.35">
      <c r="A27" s="1">
        <v>31</v>
      </c>
      <c r="B27" s="1" t="str">
        <f>VLOOKUP(A27,Registration!$B$3:$C$77,2,FALSE)</f>
        <v>Mixed</v>
      </c>
      <c r="C27" s="44">
        <v>6.4687499999999995E-2</v>
      </c>
      <c r="D27" s="16">
        <v>0.13067129629629629</v>
      </c>
      <c r="E27" s="44">
        <f t="shared" si="9"/>
        <v>6.598379629629629E-2</v>
      </c>
      <c r="F27" s="16">
        <v>0.18873842592592593</v>
      </c>
      <c r="G27" s="44">
        <f t="shared" si="6"/>
        <v>5.8067129629629649E-2</v>
      </c>
      <c r="H27" s="27">
        <v>0.24127314814814815</v>
      </c>
      <c r="I27" s="45">
        <f t="shared" si="2"/>
        <v>5.2534722222222219E-2</v>
      </c>
      <c r="J27" s="27">
        <v>0.3028703703703704</v>
      </c>
      <c r="K27" s="45">
        <f t="shared" si="7"/>
        <v>6.1597222222222248E-2</v>
      </c>
      <c r="L27" s="24">
        <v>0.34802083333333328</v>
      </c>
      <c r="M27" s="46">
        <f t="shared" si="8"/>
        <v>4.5150462962962878E-2</v>
      </c>
      <c r="N27" s="27">
        <v>0.41120370370370374</v>
      </c>
      <c r="O27" s="47">
        <f t="shared" si="5"/>
        <v>6.3182870370370459E-2</v>
      </c>
      <c r="P27" s="27">
        <v>0.41120370370370374</v>
      </c>
      <c r="Q27" s="35">
        <v>11</v>
      </c>
    </row>
    <row r="28" spans="1:17" x14ac:dyDescent="0.35">
      <c r="A28" s="1">
        <v>28</v>
      </c>
      <c r="B28" s="1" t="str">
        <f>VLOOKUP(A28,Registration!$B$3:$C$77,2,FALSE)</f>
        <v>Mixed</v>
      </c>
      <c r="C28" s="44">
        <v>6.1215277777777778E-2</v>
      </c>
      <c r="D28" s="16">
        <v>0.12796296296296297</v>
      </c>
      <c r="E28" s="44">
        <f t="shared" si="9"/>
        <v>6.6747685185185202E-2</v>
      </c>
      <c r="F28" s="16">
        <v>0.19556712962962963</v>
      </c>
      <c r="G28" s="44">
        <f t="shared" si="6"/>
        <v>6.760416666666666E-2</v>
      </c>
      <c r="H28" s="27">
        <v>0.25034722222222222</v>
      </c>
      <c r="I28" s="45">
        <f t="shared" si="2"/>
        <v>5.4780092592592589E-2</v>
      </c>
      <c r="J28" s="27">
        <v>0.3178125</v>
      </c>
      <c r="K28" s="45">
        <f t="shared" si="7"/>
        <v>6.7465277777777777E-2</v>
      </c>
      <c r="L28" s="24">
        <v>0.36467592592592596</v>
      </c>
      <c r="M28" s="46">
        <f t="shared" si="8"/>
        <v>4.6863425925925961E-2</v>
      </c>
      <c r="N28" s="27">
        <v>0.41250000000000003</v>
      </c>
      <c r="O28" s="47">
        <f t="shared" si="5"/>
        <v>4.7824074074074074E-2</v>
      </c>
      <c r="P28" s="27">
        <v>0.41250000000000003</v>
      </c>
      <c r="Q28" s="35">
        <v>12</v>
      </c>
    </row>
    <row r="29" spans="1:17" x14ac:dyDescent="0.35">
      <c r="A29" s="1">
        <v>38</v>
      </c>
      <c r="B29" s="1" t="str">
        <f>VLOOKUP(A29,Registration!$B$3:$C$77,2,FALSE)</f>
        <v>Mixed</v>
      </c>
      <c r="C29" s="44">
        <v>5.7476851851851855E-2</v>
      </c>
      <c r="D29" s="16">
        <v>0.12385416666666667</v>
      </c>
      <c r="E29" s="44">
        <f t="shared" si="9"/>
        <v>6.637731481481482E-2</v>
      </c>
      <c r="F29" s="16">
        <v>0.16846064814814812</v>
      </c>
      <c r="G29" s="44">
        <f t="shared" si="6"/>
        <v>4.4606481481481455E-2</v>
      </c>
      <c r="H29" s="27">
        <v>0.24962962962962965</v>
      </c>
      <c r="I29" s="45">
        <f t="shared" si="2"/>
        <v>8.1168981481481522E-2</v>
      </c>
      <c r="J29" s="27">
        <v>0.31194444444444441</v>
      </c>
      <c r="K29" s="45">
        <f t="shared" si="7"/>
        <v>6.2314814814814767E-2</v>
      </c>
      <c r="L29" s="24">
        <v>0.36634259259259255</v>
      </c>
      <c r="M29" s="46">
        <f t="shared" si="8"/>
        <v>5.439814814814814E-2</v>
      </c>
      <c r="N29" s="27">
        <v>0.4133101851851852</v>
      </c>
      <c r="O29" s="47">
        <f t="shared" si="5"/>
        <v>4.6967592592592644E-2</v>
      </c>
      <c r="P29" s="27">
        <v>0.4133101851851852</v>
      </c>
      <c r="Q29" s="35">
        <v>13</v>
      </c>
    </row>
    <row r="30" spans="1:17" x14ac:dyDescent="0.35">
      <c r="A30" s="1">
        <v>30</v>
      </c>
      <c r="B30" s="1" t="str">
        <f>VLOOKUP(A30,Registration!$B$3:$C$77,2,FALSE)</f>
        <v>Mixed</v>
      </c>
      <c r="C30" s="44">
        <v>6.5567129629629628E-2</v>
      </c>
      <c r="D30" s="16">
        <v>0.13542824074074075</v>
      </c>
      <c r="E30" s="44">
        <f t="shared" si="9"/>
        <v>6.9861111111111124E-2</v>
      </c>
      <c r="F30" s="16">
        <v>0.19011574074074075</v>
      </c>
      <c r="G30" s="44">
        <f t="shared" si="6"/>
        <v>5.46875E-2</v>
      </c>
      <c r="H30" s="27">
        <v>0.24869212962962961</v>
      </c>
      <c r="I30" s="45">
        <f t="shared" si="2"/>
        <v>5.8576388888888858E-2</v>
      </c>
      <c r="J30" s="27">
        <v>0.31354166666666666</v>
      </c>
      <c r="K30" s="45">
        <f t="shared" si="7"/>
        <v>6.4849537037037053E-2</v>
      </c>
      <c r="L30" s="24">
        <v>0.36085648148148147</v>
      </c>
      <c r="M30" s="46">
        <f t="shared" si="8"/>
        <v>4.731481481481481E-2</v>
      </c>
      <c r="N30" s="27">
        <v>0.42555555555555552</v>
      </c>
      <c r="O30" s="47">
        <f t="shared" si="5"/>
        <v>6.4699074074074048E-2</v>
      </c>
      <c r="P30" s="27">
        <v>0.42555555555555552</v>
      </c>
      <c r="Q30" s="35">
        <v>14</v>
      </c>
    </row>
    <row r="31" spans="1:17" x14ac:dyDescent="0.35">
      <c r="A31" s="1">
        <v>32</v>
      </c>
      <c r="B31" s="1" t="str">
        <f>VLOOKUP(A31,Registration!$B$3:$C$77,2,FALSE)</f>
        <v>Mixed</v>
      </c>
      <c r="C31" s="44">
        <v>6.9699074074074066E-2</v>
      </c>
      <c r="D31" s="16">
        <v>0.13744212962962962</v>
      </c>
      <c r="E31" s="44">
        <f t="shared" si="9"/>
        <v>6.7743055555555556E-2</v>
      </c>
      <c r="F31" s="16">
        <v>0.19012731481481482</v>
      </c>
      <c r="G31" s="44">
        <f t="shared" si="6"/>
        <v>5.2685185185185196E-2</v>
      </c>
      <c r="H31" s="27">
        <v>0.25696759259259261</v>
      </c>
      <c r="I31" s="45">
        <f t="shared" si="2"/>
        <v>6.684027777777779E-2</v>
      </c>
      <c r="J31" s="27">
        <v>0.31893518518518521</v>
      </c>
      <c r="K31" s="45">
        <f t="shared" si="7"/>
        <v>6.1967592592592602E-2</v>
      </c>
      <c r="L31" s="24">
        <v>0.37275462962962963</v>
      </c>
      <c r="M31" s="46">
        <f t="shared" si="8"/>
        <v>5.381944444444442E-2</v>
      </c>
      <c r="N31" s="27">
        <v>0.42809027777777775</v>
      </c>
      <c r="O31" s="47">
        <f t="shared" si="5"/>
        <v>5.533564814814812E-2</v>
      </c>
      <c r="P31" s="27">
        <v>0.42809027777777775</v>
      </c>
      <c r="Q31" s="35">
        <v>15</v>
      </c>
    </row>
    <row r="32" spans="1:17" x14ac:dyDescent="0.35">
      <c r="A32" s="1">
        <v>36</v>
      </c>
      <c r="B32" s="1" t="str">
        <f>VLOOKUP(A32,Registration!$B$3:$C$77,2,FALSE)</f>
        <v>Mixed</v>
      </c>
      <c r="C32" s="44">
        <v>5.2905092592592594E-2</v>
      </c>
      <c r="D32" s="16">
        <v>0.13503472222222221</v>
      </c>
      <c r="E32" s="44">
        <f t="shared" si="9"/>
        <v>8.2129629629629608E-2</v>
      </c>
      <c r="F32" s="16">
        <v>0.18557870370370369</v>
      </c>
      <c r="G32" s="44">
        <f t="shared" si="6"/>
        <v>5.0543981481481481E-2</v>
      </c>
      <c r="H32" s="27">
        <v>0.2414236111111111</v>
      </c>
      <c r="I32" s="45">
        <f t="shared" si="2"/>
        <v>5.5844907407407413E-2</v>
      </c>
      <c r="J32" s="27">
        <v>0.30312500000000003</v>
      </c>
      <c r="K32" s="45">
        <f t="shared" si="7"/>
        <v>6.1701388888888931E-2</v>
      </c>
      <c r="L32" s="24">
        <v>0.36365740740740743</v>
      </c>
      <c r="M32" s="46">
        <f t="shared" si="8"/>
        <v>6.0532407407407396E-2</v>
      </c>
      <c r="N32" s="27">
        <v>0.43111111111111117</v>
      </c>
      <c r="O32" s="47">
        <f t="shared" si="5"/>
        <v>6.7453703703703738E-2</v>
      </c>
      <c r="P32" s="27">
        <v>0.43111111111111117</v>
      </c>
      <c r="Q32" s="35">
        <v>16</v>
      </c>
    </row>
    <row r="33" spans="1:17" x14ac:dyDescent="0.35">
      <c r="A33" s="1">
        <v>29</v>
      </c>
      <c r="B33" s="1" t="str">
        <f>VLOOKUP(A33,Registration!$B$3:$C$77,2,FALSE)</f>
        <v>Mixed</v>
      </c>
      <c r="C33" s="44">
        <v>7.255787037037037E-2</v>
      </c>
      <c r="D33" s="16">
        <v>0.14629629629629629</v>
      </c>
      <c r="E33" s="44">
        <f t="shared" si="9"/>
        <v>7.3738425925925916E-2</v>
      </c>
      <c r="F33" s="16">
        <v>0.20152777777777778</v>
      </c>
      <c r="G33" s="44">
        <f t="shared" si="6"/>
        <v>5.5231481481481493E-2</v>
      </c>
      <c r="H33" s="27">
        <v>0.25243055555555555</v>
      </c>
      <c r="I33" s="45">
        <f t="shared" si="2"/>
        <v>5.0902777777777769E-2</v>
      </c>
      <c r="J33" s="27">
        <v>0.31644675925925925</v>
      </c>
      <c r="K33" s="45">
        <f t="shared" si="7"/>
        <v>6.40162037037037E-2</v>
      </c>
      <c r="L33" s="24">
        <v>0.36467592592592596</v>
      </c>
      <c r="M33" s="46">
        <f t="shared" si="8"/>
        <v>4.8229166666666712E-2</v>
      </c>
      <c r="N33" s="27">
        <v>0.43145833333333333</v>
      </c>
      <c r="O33" s="47">
        <f t="shared" si="5"/>
        <v>6.6782407407407374E-2</v>
      </c>
      <c r="P33" s="27">
        <v>0.43145833333333333</v>
      </c>
      <c r="Q33" s="35">
        <v>17</v>
      </c>
    </row>
    <row r="34" spans="1:17" x14ac:dyDescent="0.35">
      <c r="A34" s="1">
        <v>45</v>
      </c>
      <c r="B34" s="1" t="str">
        <f>VLOOKUP(A34,Registration!$B$3:$C$77,2,FALSE)</f>
        <v>Mixed</v>
      </c>
      <c r="C34" s="44">
        <v>6.7407407407407416E-2</v>
      </c>
      <c r="D34" s="16">
        <v>0.13312499999999999</v>
      </c>
      <c r="E34" s="44">
        <f t="shared" si="9"/>
        <v>6.5717592592592577E-2</v>
      </c>
      <c r="F34" s="16">
        <v>0.19885416666666667</v>
      </c>
      <c r="G34" s="44">
        <f t="shared" si="6"/>
        <v>6.5729166666666672E-2</v>
      </c>
      <c r="H34" s="27">
        <v>0.26116898148148149</v>
      </c>
      <c r="I34" s="45">
        <f t="shared" si="2"/>
        <v>6.2314814814814823E-2</v>
      </c>
      <c r="J34" s="27">
        <v>0.32506944444444447</v>
      </c>
      <c r="K34" s="45">
        <f t="shared" si="7"/>
        <v>6.3900462962962978E-2</v>
      </c>
      <c r="L34" s="24">
        <v>0.37593750000000004</v>
      </c>
      <c r="M34" s="46">
        <f t="shared" si="8"/>
        <v>5.0868055555555569E-2</v>
      </c>
      <c r="N34" s="27">
        <v>0.43903935185185183</v>
      </c>
      <c r="O34" s="47">
        <f t="shared" si="5"/>
        <v>6.3101851851851798E-2</v>
      </c>
      <c r="P34" s="27">
        <v>0.43903935185185183</v>
      </c>
      <c r="Q34" s="35">
        <v>18</v>
      </c>
    </row>
    <row r="35" spans="1:17" x14ac:dyDescent="0.35">
      <c r="A35" s="1">
        <v>27</v>
      </c>
      <c r="B35" s="1" t="str">
        <f>VLOOKUP(A35,Registration!$B$3:$C$77,2,FALSE)</f>
        <v>Mixed</v>
      </c>
      <c r="C35" s="44">
        <v>6.3032407407407412E-2</v>
      </c>
      <c r="D35" s="16">
        <v>0.13978009259259258</v>
      </c>
      <c r="E35" s="44">
        <f t="shared" si="9"/>
        <v>7.6747685185185169E-2</v>
      </c>
      <c r="F35" s="16">
        <v>0.19560185185185186</v>
      </c>
      <c r="G35" s="44">
        <f t="shared" si="6"/>
        <v>5.5821759259259279E-2</v>
      </c>
      <c r="H35" s="27">
        <v>0.25908564814814816</v>
      </c>
      <c r="I35" s="45">
        <f t="shared" si="2"/>
        <v>6.3483796296296302E-2</v>
      </c>
      <c r="J35" s="27">
        <v>0.33386574074074077</v>
      </c>
      <c r="K35" s="45">
        <f t="shared" si="7"/>
        <v>7.4780092592592606E-2</v>
      </c>
      <c r="L35" s="24">
        <v>0.39038194444444446</v>
      </c>
      <c r="M35" s="46">
        <f t="shared" si="8"/>
        <v>5.6516203703703694E-2</v>
      </c>
      <c r="N35" s="27">
        <v>0.44699074074074074</v>
      </c>
      <c r="O35" s="47">
        <f t="shared" si="5"/>
        <v>5.6608796296296282E-2</v>
      </c>
      <c r="P35" s="27">
        <v>0.44699074074074074</v>
      </c>
      <c r="Q35" s="35">
        <v>19</v>
      </c>
    </row>
    <row r="36" spans="1:17" x14ac:dyDescent="0.35">
      <c r="A36" s="1">
        <v>49</v>
      </c>
      <c r="B36" s="1" t="str">
        <f>VLOOKUP(A36,Registration!$B$3:$C$77,2,FALSE)</f>
        <v>Mixed</v>
      </c>
      <c r="C36" s="44">
        <v>6.232638888888889E-2</v>
      </c>
      <c r="D36" s="16">
        <v>0.13677083333333331</v>
      </c>
      <c r="E36" s="44">
        <f t="shared" si="9"/>
        <v>7.4444444444444424E-2</v>
      </c>
      <c r="F36" s="16">
        <v>0.2017939814814815</v>
      </c>
      <c r="G36" s="44">
        <f t="shared" si="6"/>
        <v>6.5023148148148191E-2</v>
      </c>
      <c r="H36" s="27">
        <v>0.26581018518518518</v>
      </c>
      <c r="I36" s="45">
        <f t="shared" ref="I36:I65" si="10">+H36-F36</f>
        <v>6.4016203703703672E-2</v>
      </c>
      <c r="J36" s="27">
        <v>0.33175925925925925</v>
      </c>
      <c r="K36" s="45">
        <f t="shared" si="7"/>
        <v>6.5949074074074077E-2</v>
      </c>
      <c r="L36" s="24">
        <v>0.38436342592592593</v>
      </c>
      <c r="M36" s="46">
        <f t="shared" si="8"/>
        <v>5.2604166666666674E-2</v>
      </c>
      <c r="N36" s="27">
        <v>0.45100694444444445</v>
      </c>
      <c r="O36" s="47">
        <f t="shared" ref="O36:O50" si="11">+N36-L36</f>
        <v>6.6643518518518519E-2</v>
      </c>
      <c r="P36" s="27">
        <v>0.45100694444444445</v>
      </c>
      <c r="Q36" s="35">
        <v>20</v>
      </c>
    </row>
    <row r="37" spans="1:17" x14ac:dyDescent="0.35">
      <c r="A37" s="1">
        <v>42</v>
      </c>
      <c r="B37" s="1" t="s">
        <v>59</v>
      </c>
      <c r="C37" s="44"/>
      <c r="D37" s="16">
        <v>0.1358449074074074</v>
      </c>
      <c r="E37" s="44"/>
      <c r="F37" s="16">
        <v>0.20208333333333331</v>
      </c>
      <c r="G37" s="44">
        <f t="shared" si="6"/>
        <v>6.6238425925925909E-2</v>
      </c>
      <c r="H37" s="27">
        <v>0.26381944444444444</v>
      </c>
      <c r="I37" s="45">
        <f t="shared" si="10"/>
        <v>6.173611111111113E-2</v>
      </c>
      <c r="J37" s="27">
        <v>0.33885416666666668</v>
      </c>
      <c r="K37" s="45">
        <f t="shared" si="7"/>
        <v>7.5034722222222239E-2</v>
      </c>
      <c r="L37" s="24">
        <v>0.39230324074074074</v>
      </c>
      <c r="M37" s="46">
        <f t="shared" si="8"/>
        <v>5.3449074074074066E-2</v>
      </c>
      <c r="N37" s="27">
        <v>0.45202546296296298</v>
      </c>
      <c r="O37" s="47">
        <f t="shared" si="11"/>
        <v>5.9722222222222232E-2</v>
      </c>
      <c r="P37" s="27">
        <v>0.45202546296296298</v>
      </c>
      <c r="Q37" s="35">
        <v>21</v>
      </c>
    </row>
    <row r="38" spans="1:17" x14ac:dyDescent="0.35">
      <c r="A38" s="1">
        <v>47</v>
      </c>
      <c r="B38" s="1" t="s">
        <v>59</v>
      </c>
      <c r="C38" s="44"/>
      <c r="D38" s="16">
        <v>0.14245370370370369</v>
      </c>
      <c r="E38" s="44"/>
      <c r="F38" s="16">
        <v>0.20575231481481482</v>
      </c>
      <c r="G38" s="44">
        <f t="shared" si="6"/>
        <v>6.3298611111111125E-2</v>
      </c>
      <c r="H38" s="27">
        <v>0.26880787037037041</v>
      </c>
      <c r="I38" s="45">
        <f t="shared" si="10"/>
        <v>6.3055555555555587E-2</v>
      </c>
      <c r="J38" s="27">
        <v>0.31765046296296295</v>
      </c>
      <c r="K38" s="45">
        <f t="shared" si="7"/>
        <v>4.8842592592592549E-2</v>
      </c>
      <c r="L38" s="24">
        <v>0.41165509259259259</v>
      </c>
      <c r="M38" s="46">
        <f t="shared" si="8"/>
        <v>9.4004629629629632E-2</v>
      </c>
      <c r="N38" s="27">
        <v>0.46849537037037042</v>
      </c>
      <c r="O38" s="47">
        <f t="shared" si="11"/>
        <v>5.6840277777777837E-2</v>
      </c>
      <c r="P38" s="27">
        <v>0.46849537037037042</v>
      </c>
      <c r="Q38" s="35">
        <v>22</v>
      </c>
    </row>
    <row r="39" spans="1:17" x14ac:dyDescent="0.35">
      <c r="A39" s="1">
        <v>51</v>
      </c>
      <c r="B39" s="1" t="s">
        <v>59</v>
      </c>
      <c r="C39" s="44"/>
      <c r="D39" s="16">
        <v>0.1698611111111111</v>
      </c>
      <c r="E39" s="44"/>
      <c r="F39" s="16">
        <v>0.23021990740740739</v>
      </c>
      <c r="G39" s="44">
        <f t="shared" si="6"/>
        <v>6.0358796296296285E-2</v>
      </c>
      <c r="H39" s="27">
        <v>0.30118055555555556</v>
      </c>
      <c r="I39" s="45">
        <f t="shared" si="10"/>
        <v>7.0960648148148175E-2</v>
      </c>
      <c r="J39" s="27">
        <v>0.37986111111111115</v>
      </c>
      <c r="K39" s="45">
        <f t="shared" si="7"/>
        <v>7.8680555555555587E-2</v>
      </c>
      <c r="L39" s="24">
        <v>0.43902777777777779</v>
      </c>
      <c r="M39" s="46">
        <f t="shared" si="8"/>
        <v>5.9166666666666645E-2</v>
      </c>
      <c r="N39" s="27">
        <v>0.47302083333333328</v>
      </c>
      <c r="O39" s="47">
        <f t="shared" si="11"/>
        <v>3.3993055555555485E-2</v>
      </c>
      <c r="P39" s="27">
        <v>0.47302083333333328</v>
      </c>
      <c r="Q39" s="35">
        <v>23</v>
      </c>
    </row>
    <row r="40" spans="1:17" x14ac:dyDescent="0.35">
      <c r="A40" s="1">
        <v>23</v>
      </c>
      <c r="B40" s="1" t="str">
        <f>VLOOKUP(A40,Registration!$B$3:$C$77,2,FALSE)</f>
        <v>Mixed</v>
      </c>
      <c r="C40" s="44">
        <v>7.1226851851851861E-2</v>
      </c>
      <c r="D40" s="16">
        <v>0.15084490740740741</v>
      </c>
      <c r="E40" s="44">
        <f t="shared" ref="E40:E49" si="12">+D40-C40</f>
        <v>7.9618055555555553E-2</v>
      </c>
      <c r="F40" s="16">
        <v>0.20942129629629627</v>
      </c>
      <c r="G40" s="44">
        <f t="shared" si="6"/>
        <v>5.8576388888888858E-2</v>
      </c>
      <c r="H40" s="27">
        <v>0.27050925925925923</v>
      </c>
      <c r="I40" s="45">
        <f t="shared" si="10"/>
        <v>6.1087962962962955E-2</v>
      </c>
      <c r="J40" s="27">
        <v>0.34993055555555558</v>
      </c>
      <c r="K40" s="45">
        <f t="shared" si="7"/>
        <v>7.9421296296296351E-2</v>
      </c>
      <c r="L40" s="24">
        <v>0.41612268518518519</v>
      </c>
      <c r="M40" s="46">
        <f t="shared" si="8"/>
        <v>6.6192129629629615E-2</v>
      </c>
      <c r="N40" s="27">
        <v>0.48709490740740741</v>
      </c>
      <c r="O40" s="47">
        <f t="shared" si="11"/>
        <v>7.0972222222222214E-2</v>
      </c>
      <c r="P40" s="27">
        <v>0.48709490740740741</v>
      </c>
      <c r="Q40" s="35">
        <v>24</v>
      </c>
    </row>
    <row r="41" spans="1:17" x14ac:dyDescent="0.35">
      <c r="A41" s="1">
        <v>41</v>
      </c>
      <c r="B41" s="1" t="str">
        <f>VLOOKUP(A41,Registration!$B$3:$C$77,2,FALSE)</f>
        <v>Mixed</v>
      </c>
      <c r="C41" s="44">
        <v>7.8020833333333331E-2</v>
      </c>
      <c r="D41" s="16">
        <v>0.15630787037037039</v>
      </c>
      <c r="E41" s="44">
        <f t="shared" si="12"/>
        <v>7.8287037037037058E-2</v>
      </c>
      <c r="F41" s="16">
        <v>0.22750000000000001</v>
      </c>
      <c r="G41" s="44">
        <f t="shared" si="6"/>
        <v>7.1192129629629619E-2</v>
      </c>
      <c r="H41" s="27">
        <v>0.2991550925925926</v>
      </c>
      <c r="I41" s="45">
        <f t="shared" si="10"/>
        <v>7.165509259259259E-2</v>
      </c>
      <c r="J41" s="27">
        <v>0.37137731481481479</v>
      </c>
      <c r="K41" s="45">
        <f t="shared" si="7"/>
        <v>7.2222222222222188E-2</v>
      </c>
      <c r="L41" s="24">
        <v>0.41763888888888889</v>
      </c>
      <c r="M41" s="46">
        <f t="shared" si="8"/>
        <v>4.6261574074074108E-2</v>
      </c>
      <c r="N41" s="27">
        <v>0.48883101851851851</v>
      </c>
      <c r="O41" s="47">
        <f t="shared" si="11"/>
        <v>7.1192129629629619E-2</v>
      </c>
      <c r="P41" s="27">
        <v>0.48883101851851851</v>
      </c>
      <c r="Q41" s="35">
        <v>25</v>
      </c>
    </row>
    <row r="42" spans="1:17" x14ac:dyDescent="0.35">
      <c r="A42" s="1">
        <v>46</v>
      </c>
      <c r="B42" s="1" t="str">
        <f>VLOOKUP(A42,Registration!$B$3:$C$77,2,FALSE)</f>
        <v>Mixed</v>
      </c>
      <c r="C42" s="44">
        <v>7.3981481481481481E-2</v>
      </c>
      <c r="D42" s="16">
        <v>0.15408564814814815</v>
      </c>
      <c r="E42" s="44">
        <f t="shared" si="12"/>
        <v>8.0104166666666671E-2</v>
      </c>
      <c r="F42" s="16">
        <v>0.22792824074074072</v>
      </c>
      <c r="G42" s="44">
        <f t="shared" si="6"/>
        <v>7.3842592592592571E-2</v>
      </c>
      <c r="H42" s="27">
        <v>0.29255787037037034</v>
      </c>
      <c r="I42" s="45">
        <f t="shared" si="10"/>
        <v>6.462962962962962E-2</v>
      </c>
      <c r="J42" s="27">
        <v>0.36991898148148145</v>
      </c>
      <c r="K42" s="45">
        <f t="shared" si="7"/>
        <v>7.7361111111111103E-2</v>
      </c>
      <c r="L42" s="24">
        <v>0.41939814814814813</v>
      </c>
      <c r="M42" s="46">
        <f t="shared" si="8"/>
        <v>4.9479166666666685E-2</v>
      </c>
      <c r="N42" s="27">
        <v>0.50215277777777778</v>
      </c>
      <c r="O42" s="47">
        <f t="shared" si="11"/>
        <v>8.275462962962965E-2</v>
      </c>
      <c r="P42" s="27">
        <v>0.50215277777777778</v>
      </c>
      <c r="Q42" s="35">
        <v>26</v>
      </c>
    </row>
    <row r="43" spans="1:17" x14ac:dyDescent="0.35">
      <c r="A43" s="1">
        <v>48</v>
      </c>
      <c r="B43" s="1" t="str">
        <f>VLOOKUP(A43,Registration!$B$3:$C$77,2,FALSE)</f>
        <v>Mixed</v>
      </c>
      <c r="C43" s="44">
        <v>6.0972222222222226E-2</v>
      </c>
      <c r="D43" s="16">
        <v>0.1628125</v>
      </c>
      <c r="E43" s="44">
        <f t="shared" si="12"/>
        <v>0.10184027777777777</v>
      </c>
      <c r="F43" s="16">
        <v>0.22287037037037039</v>
      </c>
      <c r="G43" s="44">
        <f t="shared" ref="G43:G65" si="13">+F43-D43</f>
        <v>6.0057870370370386E-2</v>
      </c>
      <c r="H43" s="27">
        <v>0.29211805555555553</v>
      </c>
      <c r="I43" s="45">
        <f t="shared" si="10"/>
        <v>6.9247685185185148E-2</v>
      </c>
      <c r="J43" s="27">
        <v>0.37899305555555557</v>
      </c>
      <c r="K43" s="45">
        <f t="shared" si="7"/>
        <v>8.6875000000000036E-2</v>
      </c>
      <c r="L43" s="24">
        <v>0.43408564814814815</v>
      </c>
      <c r="M43" s="46">
        <f t="shared" si="8"/>
        <v>5.5092592592592582E-2</v>
      </c>
      <c r="N43" s="27">
        <v>0.51268518518518513</v>
      </c>
      <c r="O43" s="47">
        <f t="shared" si="11"/>
        <v>7.8599537037036982E-2</v>
      </c>
      <c r="P43" s="27">
        <v>0.51268518518518513</v>
      </c>
      <c r="Q43" s="35">
        <v>27</v>
      </c>
    </row>
    <row r="44" spans="1:17" x14ac:dyDescent="0.35">
      <c r="A44" s="1">
        <v>40</v>
      </c>
      <c r="B44" s="1" t="str">
        <f>VLOOKUP(A44,Registration!$B$3:$C$77,2,FALSE)</f>
        <v>Mixed</v>
      </c>
      <c r="C44" s="44">
        <v>6.626157407407407E-2</v>
      </c>
      <c r="D44" s="16">
        <v>0.16067129629629631</v>
      </c>
      <c r="E44" s="44">
        <f t="shared" si="12"/>
        <v>9.4409722222222242E-2</v>
      </c>
      <c r="F44" s="16">
        <v>0.22989583333333333</v>
      </c>
      <c r="G44" s="44">
        <f t="shared" si="13"/>
        <v>6.9224537037037015E-2</v>
      </c>
      <c r="H44" s="27">
        <v>0.30186342592592591</v>
      </c>
      <c r="I44" s="45">
        <f t="shared" si="10"/>
        <v>7.1967592592592583E-2</v>
      </c>
      <c r="J44" s="27">
        <v>0.39393518518518517</v>
      </c>
      <c r="K44" s="45">
        <f t="shared" si="7"/>
        <v>9.2071759259259256E-2</v>
      </c>
      <c r="L44" s="24">
        <v>0.45096064814814812</v>
      </c>
      <c r="M44" s="46">
        <f t="shared" si="8"/>
        <v>5.7025462962962958E-2</v>
      </c>
      <c r="N44" s="27">
        <v>0.52483796296296303</v>
      </c>
      <c r="O44" s="47">
        <f t="shared" si="11"/>
        <v>7.3877314814814909E-2</v>
      </c>
      <c r="P44" s="27">
        <v>0.52483796296296303</v>
      </c>
      <c r="Q44" s="35">
        <v>28</v>
      </c>
    </row>
    <row r="45" spans="1:17" x14ac:dyDescent="0.35">
      <c r="A45" s="1">
        <v>22</v>
      </c>
      <c r="B45" s="1" t="str">
        <f>VLOOKUP(A45,Registration!$B$3:$C$77,2,FALSE)</f>
        <v>Wmn 40+</v>
      </c>
      <c r="C45" s="44">
        <v>5.1562500000000004E-2</v>
      </c>
      <c r="D45" s="16">
        <v>0.11746527777777778</v>
      </c>
      <c r="E45" s="44">
        <f t="shared" si="12"/>
        <v>6.5902777777777782E-2</v>
      </c>
      <c r="F45" s="16">
        <v>0.16841435185185186</v>
      </c>
      <c r="G45" s="44">
        <f t="shared" si="13"/>
        <v>5.0949074074074077E-2</v>
      </c>
      <c r="H45" s="27">
        <v>0.22526620370370368</v>
      </c>
      <c r="I45" s="45">
        <f t="shared" si="10"/>
        <v>5.685185185185182E-2</v>
      </c>
      <c r="J45" s="27">
        <v>0.28670138888888891</v>
      </c>
      <c r="K45" s="45">
        <f t="shared" si="7"/>
        <v>6.1435185185185232E-2</v>
      </c>
      <c r="L45" s="24">
        <v>0.33679398148148149</v>
      </c>
      <c r="M45" s="46">
        <f t="shared" si="8"/>
        <v>5.0092592592592577E-2</v>
      </c>
      <c r="N45" s="27">
        <v>0.39130787037037035</v>
      </c>
      <c r="O45" s="47">
        <f t="shared" si="11"/>
        <v>5.4513888888888862E-2</v>
      </c>
      <c r="P45" s="27">
        <v>0.39130787037037035</v>
      </c>
      <c r="Q45" s="35">
        <v>1</v>
      </c>
    </row>
    <row r="46" spans="1:17" x14ac:dyDescent="0.35">
      <c r="A46" s="1">
        <v>16</v>
      </c>
      <c r="B46" s="1" t="str">
        <f>VLOOKUP(A46,Registration!$B$3:$C$77,2,FALSE)</f>
        <v>Womens</v>
      </c>
      <c r="C46" s="44">
        <v>4.9525462962962959E-2</v>
      </c>
      <c r="D46" s="16">
        <v>0.10986111111111112</v>
      </c>
      <c r="E46" s="44">
        <f t="shared" si="12"/>
        <v>6.0335648148148159E-2</v>
      </c>
      <c r="F46" s="16">
        <v>0.1575462962962963</v>
      </c>
      <c r="G46" s="44">
        <f t="shared" si="13"/>
        <v>4.7685185185185178E-2</v>
      </c>
      <c r="H46" s="27">
        <v>0.20423611111111109</v>
      </c>
      <c r="I46" s="45">
        <f t="shared" si="10"/>
        <v>4.6689814814814795E-2</v>
      </c>
      <c r="J46" s="27">
        <v>0.2535648148148148</v>
      </c>
      <c r="K46" s="45">
        <f t="shared" si="7"/>
        <v>4.9328703703703708E-2</v>
      </c>
      <c r="L46" s="24">
        <v>0.3</v>
      </c>
      <c r="M46" s="46">
        <f t="shared" si="8"/>
        <v>4.643518518518519E-2</v>
      </c>
      <c r="N46" s="27">
        <v>0.35038194444444448</v>
      </c>
      <c r="O46" s="47">
        <f t="shared" si="11"/>
        <v>5.0381944444444493E-2</v>
      </c>
      <c r="P46" s="27">
        <v>0.35038194444444448</v>
      </c>
      <c r="Q46" s="35">
        <v>1</v>
      </c>
    </row>
    <row r="47" spans="1:17" x14ac:dyDescent="0.35">
      <c r="A47" s="1">
        <v>21</v>
      </c>
      <c r="B47" s="1" t="str">
        <f>VLOOKUP(A47,Registration!$B$3:$C$77,2,FALSE)</f>
        <v>Womens</v>
      </c>
      <c r="C47" s="44">
        <v>5.0902777777777776E-2</v>
      </c>
      <c r="D47" s="16">
        <v>0.1152199074074074</v>
      </c>
      <c r="E47" s="44">
        <f t="shared" si="12"/>
        <v>6.4317129629629627E-2</v>
      </c>
      <c r="F47" s="16">
        <v>0.15990740740740741</v>
      </c>
      <c r="G47" s="44">
        <f t="shared" si="13"/>
        <v>4.4687500000000019E-2</v>
      </c>
      <c r="H47" s="27">
        <v>0.20744212962962963</v>
      </c>
      <c r="I47" s="45">
        <f t="shared" si="10"/>
        <v>4.7534722222222214E-2</v>
      </c>
      <c r="J47" s="27">
        <v>0.26197916666666665</v>
      </c>
      <c r="K47" s="45">
        <f t="shared" si="7"/>
        <v>5.4537037037037023E-2</v>
      </c>
      <c r="L47" s="24">
        <v>0.31495370370370374</v>
      </c>
      <c r="M47" s="46">
        <f t="shared" si="8"/>
        <v>5.2974537037037084E-2</v>
      </c>
      <c r="N47" s="27">
        <v>0.36546296296296293</v>
      </c>
      <c r="O47" s="47">
        <f t="shared" si="11"/>
        <v>5.0509259259259198E-2</v>
      </c>
      <c r="P47" s="27">
        <v>0.36546296296296293</v>
      </c>
      <c r="Q47" s="35">
        <v>2</v>
      </c>
    </row>
    <row r="48" spans="1:17" x14ac:dyDescent="0.35">
      <c r="A48" s="1">
        <v>19</v>
      </c>
      <c r="B48" s="1" t="str">
        <f>VLOOKUP(A48,Registration!$B$3:$C$77,2,FALSE)</f>
        <v>Womens</v>
      </c>
      <c r="C48" s="44">
        <v>5.769675925925926E-2</v>
      </c>
      <c r="D48" s="16">
        <v>0.12822916666666667</v>
      </c>
      <c r="E48" s="44">
        <f t="shared" si="12"/>
        <v>7.0532407407407405E-2</v>
      </c>
      <c r="F48" s="16">
        <v>0.19144675925925925</v>
      </c>
      <c r="G48" s="44">
        <f t="shared" si="13"/>
        <v>6.3217592592592575E-2</v>
      </c>
      <c r="H48" s="27">
        <v>0.24260416666666665</v>
      </c>
      <c r="I48" s="45">
        <f t="shared" si="10"/>
        <v>5.1157407407407401E-2</v>
      </c>
      <c r="J48" s="27">
        <v>0.30274305555555553</v>
      </c>
      <c r="K48" s="45">
        <f t="shared" si="7"/>
        <v>6.0138888888888881E-2</v>
      </c>
      <c r="L48" s="24">
        <v>0.35920138888888892</v>
      </c>
      <c r="M48" s="46">
        <f t="shared" si="8"/>
        <v>5.6458333333333388E-2</v>
      </c>
      <c r="N48" s="27">
        <v>0.41422453703703704</v>
      </c>
      <c r="O48" s="47">
        <f t="shared" si="11"/>
        <v>5.5023148148148127E-2</v>
      </c>
      <c r="P48" s="27">
        <v>0.41422453703703704</v>
      </c>
      <c r="Q48" s="35">
        <v>3</v>
      </c>
    </row>
    <row r="49" spans="1:17" x14ac:dyDescent="0.35">
      <c r="A49" s="1">
        <v>17</v>
      </c>
      <c r="B49" s="1" t="str">
        <f>VLOOKUP(A49,Registration!$B$3:$C$77,2,FALSE)</f>
        <v>Womens</v>
      </c>
      <c r="C49" s="44">
        <v>7.5590277777777784E-2</v>
      </c>
      <c r="D49" s="16">
        <v>0.15065972222222221</v>
      </c>
      <c r="E49" s="44">
        <f t="shared" si="12"/>
        <v>7.5069444444444425E-2</v>
      </c>
      <c r="F49" s="16">
        <v>0.20762731481481481</v>
      </c>
      <c r="G49" s="44">
        <f t="shared" si="13"/>
        <v>5.6967592592592597E-2</v>
      </c>
      <c r="H49" s="27">
        <v>0.27707175925925925</v>
      </c>
      <c r="I49" s="45">
        <f t="shared" si="10"/>
        <v>6.9444444444444448E-2</v>
      </c>
      <c r="J49" s="27">
        <v>0.33424768518518522</v>
      </c>
      <c r="K49" s="45">
        <f t="shared" si="7"/>
        <v>5.7175925925925963E-2</v>
      </c>
      <c r="L49" s="24">
        <v>0.38938657407407407</v>
      </c>
      <c r="M49" s="46">
        <f t="shared" si="8"/>
        <v>5.5138888888888848E-2</v>
      </c>
      <c r="N49" s="27">
        <v>0.46334490740740741</v>
      </c>
      <c r="O49" s="47">
        <f t="shared" si="11"/>
        <v>7.3958333333333348E-2</v>
      </c>
      <c r="P49" s="27">
        <v>0.46334490740740741</v>
      </c>
      <c r="Q49" s="35">
        <v>4</v>
      </c>
    </row>
    <row r="50" spans="1:17" x14ac:dyDescent="0.35">
      <c r="A50" s="1">
        <v>14</v>
      </c>
      <c r="B50" s="1" t="s">
        <v>51</v>
      </c>
      <c r="C50" s="44"/>
      <c r="D50" s="16">
        <v>0.15782407407407409</v>
      </c>
      <c r="E50" s="44"/>
      <c r="F50" s="16">
        <v>0.21888888888888888</v>
      </c>
      <c r="G50" s="44">
        <f t="shared" si="13"/>
        <v>6.1064814814814794E-2</v>
      </c>
      <c r="H50" s="27">
        <v>0.28643518518518518</v>
      </c>
      <c r="I50" s="45">
        <f t="shared" si="10"/>
        <v>6.7546296296296299E-2</v>
      </c>
      <c r="J50" s="27">
        <v>0.36462962962962964</v>
      </c>
      <c r="K50" s="45">
        <f t="shared" si="7"/>
        <v>7.8194444444444455E-2</v>
      </c>
      <c r="L50" s="24">
        <v>0.41387731481481477</v>
      </c>
      <c r="M50" s="46">
        <f t="shared" si="8"/>
        <v>4.924768518518513E-2</v>
      </c>
      <c r="N50" s="27">
        <v>0.4924074074074074</v>
      </c>
      <c r="O50" s="47">
        <f t="shared" si="11"/>
        <v>7.8530092592592637E-2</v>
      </c>
      <c r="P50" s="27">
        <v>0.4924074074074074</v>
      </c>
      <c r="Q50" s="35">
        <v>5</v>
      </c>
    </row>
    <row r="51" spans="1:17" x14ac:dyDescent="0.35">
      <c r="A51" s="1">
        <v>55</v>
      </c>
      <c r="B51" s="1" t="str">
        <f>VLOOKUP(A51,Registration!$B$3:$C$77,2,FALSE)</f>
        <v>Mixed40+</v>
      </c>
      <c r="C51" s="44">
        <v>4.8946759259259259E-2</v>
      </c>
      <c r="D51" s="16">
        <v>0.11818287037037038</v>
      </c>
      <c r="E51" s="44">
        <f t="shared" ref="E51:E62" si="14">+D51-C51</f>
        <v>6.9236111111111123E-2</v>
      </c>
      <c r="F51" s="16">
        <v>0.16979166666666667</v>
      </c>
      <c r="G51" s="44">
        <f t="shared" ref="G51:G64" si="15">+F51-D51</f>
        <v>5.1608796296296292E-2</v>
      </c>
      <c r="H51" s="27">
        <v>0.22152777777777777</v>
      </c>
      <c r="I51" s="45">
        <f t="shared" ref="I51:I64" si="16">+H51-F51</f>
        <v>5.1736111111111094E-2</v>
      </c>
      <c r="J51" s="27">
        <v>0.27656249999999999</v>
      </c>
      <c r="K51" s="45">
        <f t="shared" ref="K51:K63" si="17">+J51-H51</f>
        <v>5.5034722222222221E-2</v>
      </c>
      <c r="L51" s="24">
        <v>0.32353009259259258</v>
      </c>
      <c r="M51" s="46">
        <f t="shared" ref="M51:M63" si="18">+L51-J51</f>
        <v>4.6967592592592589E-2</v>
      </c>
      <c r="N51" s="27">
        <v>0.37247685185185181</v>
      </c>
      <c r="O51" s="47">
        <f t="shared" ref="O51:O63" si="19">+N51-L51</f>
        <v>4.8946759259259232E-2</v>
      </c>
      <c r="P51" s="27">
        <v>0.37247685185185181</v>
      </c>
      <c r="Q51" s="35">
        <v>1</v>
      </c>
    </row>
    <row r="52" spans="1:17" x14ac:dyDescent="0.35">
      <c r="A52" s="1">
        <v>56</v>
      </c>
      <c r="B52" s="1" t="str">
        <f>VLOOKUP(A52,Registration!$B$3:$C$77,2,FALSE)</f>
        <v>Mixed40+</v>
      </c>
      <c r="C52" s="44">
        <v>5.2314814814814814E-2</v>
      </c>
      <c r="D52" s="16">
        <v>0.14292824074074073</v>
      </c>
      <c r="E52" s="44">
        <f t="shared" si="14"/>
        <v>9.0613425925925917E-2</v>
      </c>
      <c r="F52" s="16">
        <v>0.21104166666666668</v>
      </c>
      <c r="G52" s="44">
        <f t="shared" si="15"/>
        <v>6.8113425925925952E-2</v>
      </c>
      <c r="H52" s="27">
        <v>0.26475694444444448</v>
      </c>
      <c r="I52" s="45">
        <f t="shared" si="16"/>
        <v>5.3715277777777792E-2</v>
      </c>
      <c r="J52" s="27">
        <v>0.32703703703703701</v>
      </c>
      <c r="K52" s="45">
        <f t="shared" si="17"/>
        <v>6.228009259259254E-2</v>
      </c>
      <c r="L52" s="24">
        <v>0.37988425925925928</v>
      </c>
      <c r="M52" s="46">
        <f t="shared" si="18"/>
        <v>5.2847222222222268E-2</v>
      </c>
      <c r="N52" s="27">
        <v>0.43688657407407411</v>
      </c>
      <c r="O52" s="47">
        <f t="shared" si="19"/>
        <v>5.7002314814814825E-2</v>
      </c>
      <c r="P52" s="27">
        <v>0.43688657407407411</v>
      </c>
      <c r="Q52" s="35">
        <v>2</v>
      </c>
    </row>
    <row r="53" spans="1:17" x14ac:dyDescent="0.35">
      <c r="A53" s="1">
        <v>57</v>
      </c>
      <c r="B53" s="1" t="str">
        <f>VLOOKUP(A53,Registration!$B$3:$C$77,2,FALSE)</f>
        <v>Mixed40+</v>
      </c>
      <c r="C53" s="44">
        <v>6.5671296296296297E-2</v>
      </c>
      <c r="D53" s="16">
        <v>0.14469907407407409</v>
      </c>
      <c r="E53" s="44">
        <f t="shared" si="14"/>
        <v>7.9027777777777794E-2</v>
      </c>
      <c r="F53" s="16">
        <v>0.20033564814814817</v>
      </c>
      <c r="G53" s="44">
        <f t="shared" si="15"/>
        <v>5.5636574074074074E-2</v>
      </c>
      <c r="H53" s="27">
        <v>0.25575231481481481</v>
      </c>
      <c r="I53" s="45">
        <f t="shared" si="16"/>
        <v>5.5416666666666642E-2</v>
      </c>
      <c r="J53" s="27">
        <v>0.32337962962962963</v>
      </c>
      <c r="K53" s="45">
        <f t="shared" si="17"/>
        <v>6.7627314814814821E-2</v>
      </c>
      <c r="L53" s="24">
        <v>0.37708333333333338</v>
      </c>
      <c r="M53" s="46">
        <f t="shared" si="18"/>
        <v>5.3703703703703753E-2</v>
      </c>
      <c r="N53" s="27">
        <v>0.440462962962963</v>
      </c>
      <c r="O53" s="47">
        <f t="shared" si="19"/>
        <v>6.3379629629629619E-2</v>
      </c>
      <c r="P53" s="27">
        <v>0.440462962962963</v>
      </c>
      <c r="Q53" s="35">
        <v>3</v>
      </c>
    </row>
    <row r="54" spans="1:17" x14ac:dyDescent="0.35">
      <c r="A54" s="1">
        <v>58</v>
      </c>
      <c r="B54" s="1" t="str">
        <f>VLOOKUP(A54,Registration!$B$3:$C$77,2,FALSE)</f>
        <v>Mixed40+</v>
      </c>
      <c r="C54" s="44">
        <v>5.9641203703703703E-2</v>
      </c>
      <c r="D54" s="16">
        <v>0.1275</v>
      </c>
      <c r="E54" s="44">
        <f t="shared" si="14"/>
        <v>6.7858796296296292E-2</v>
      </c>
      <c r="F54" s="16">
        <v>0.19575231481481481</v>
      </c>
      <c r="G54" s="44">
        <f t="shared" si="15"/>
        <v>6.8252314814814807E-2</v>
      </c>
      <c r="H54" s="27">
        <v>0.25665509259259262</v>
      </c>
      <c r="I54" s="45">
        <f t="shared" si="16"/>
        <v>6.0902777777777806E-2</v>
      </c>
      <c r="J54" s="27">
        <v>0.3298726851851852</v>
      </c>
      <c r="K54" s="45">
        <f t="shared" si="17"/>
        <v>7.3217592592592584E-2</v>
      </c>
      <c r="L54" s="24">
        <v>0.38950231481481484</v>
      </c>
      <c r="M54" s="46">
        <f t="shared" si="18"/>
        <v>5.9629629629629644E-2</v>
      </c>
      <c r="N54" s="27">
        <v>0.46136574074074077</v>
      </c>
      <c r="O54" s="47">
        <f t="shared" si="19"/>
        <v>7.1863425925925928E-2</v>
      </c>
      <c r="P54" s="27">
        <v>0.46136574074074077</v>
      </c>
      <c r="Q54" s="35">
        <v>4</v>
      </c>
    </row>
    <row r="55" spans="1:17" x14ac:dyDescent="0.35">
      <c r="A55" s="1">
        <v>53</v>
      </c>
      <c r="B55" s="1" t="str">
        <f>VLOOKUP(A55,Registration!$B$3:$C$77,2,FALSE)</f>
        <v>Mixed40+</v>
      </c>
      <c r="C55" s="44">
        <v>8.0567129629629627E-2</v>
      </c>
      <c r="D55" s="16">
        <v>0.17997685185185186</v>
      </c>
      <c r="E55" s="44">
        <f t="shared" si="14"/>
        <v>9.9409722222222233E-2</v>
      </c>
      <c r="F55" s="16">
        <v>0.25269675925925927</v>
      </c>
      <c r="G55" s="44">
        <f t="shared" si="15"/>
        <v>7.2719907407407414E-2</v>
      </c>
      <c r="H55" s="27">
        <v>0.32143518518518516</v>
      </c>
      <c r="I55" s="45">
        <f t="shared" si="16"/>
        <v>6.8738425925925883E-2</v>
      </c>
      <c r="J55" s="27">
        <v>0.39275462962962965</v>
      </c>
      <c r="K55" s="45">
        <f t="shared" si="17"/>
        <v>7.1319444444444491E-2</v>
      </c>
      <c r="L55" s="24">
        <v>0.42153935185185182</v>
      </c>
      <c r="M55" s="46">
        <f t="shared" si="18"/>
        <v>2.878472222222217E-2</v>
      </c>
      <c r="N55" s="27">
        <v>0.54516203703703703</v>
      </c>
      <c r="O55" s="47">
        <f t="shared" si="19"/>
        <v>0.12362268518518521</v>
      </c>
      <c r="P55" s="27">
        <v>0.54516203703703703</v>
      </c>
      <c r="Q55" s="35">
        <v>5</v>
      </c>
    </row>
    <row r="56" spans="1:17" x14ac:dyDescent="0.35">
      <c r="A56" s="1">
        <v>60</v>
      </c>
      <c r="B56" s="1" t="str">
        <f>VLOOKUP(A56,Registration!$B$3:$C$77,2,FALSE)</f>
        <v>Corp</v>
      </c>
      <c r="C56" s="44">
        <v>4.4618055555555557E-2</v>
      </c>
      <c r="D56" s="16">
        <v>0.11660879629629629</v>
      </c>
      <c r="E56" s="44">
        <f t="shared" si="14"/>
        <v>7.1990740740740744E-2</v>
      </c>
      <c r="F56" s="16">
        <v>0.1696412037037037</v>
      </c>
      <c r="G56" s="44">
        <f t="shared" si="15"/>
        <v>5.3032407407407403E-2</v>
      </c>
      <c r="H56" s="27">
        <v>0.21905092592592593</v>
      </c>
      <c r="I56" s="45">
        <f t="shared" si="16"/>
        <v>4.940972222222223E-2</v>
      </c>
      <c r="J56" s="27">
        <v>0.28923611111111108</v>
      </c>
      <c r="K56" s="45">
        <f t="shared" si="17"/>
        <v>7.0185185185185156E-2</v>
      </c>
      <c r="L56" s="24">
        <v>0.33582175925925922</v>
      </c>
      <c r="M56" s="46">
        <f t="shared" si="18"/>
        <v>4.658564814814814E-2</v>
      </c>
      <c r="N56" s="27">
        <v>0.38619212962962962</v>
      </c>
      <c r="O56" s="47">
        <f t="shared" si="19"/>
        <v>5.0370370370370399E-2</v>
      </c>
      <c r="P56" s="27">
        <v>0.38619212962962962</v>
      </c>
      <c r="Q56" s="35">
        <v>1</v>
      </c>
    </row>
    <row r="57" spans="1:17" x14ac:dyDescent="0.35">
      <c r="A57" s="1">
        <v>65</v>
      </c>
      <c r="B57" s="1" t="str">
        <f>VLOOKUP(A57,Registration!$B$3:$C$77,2,FALSE)</f>
        <v>Corp</v>
      </c>
      <c r="C57" s="44">
        <v>6.3310185185185178E-2</v>
      </c>
      <c r="D57" s="16">
        <v>0.13109953703703703</v>
      </c>
      <c r="E57" s="44">
        <f t="shared" si="14"/>
        <v>6.7789351851851851E-2</v>
      </c>
      <c r="F57" s="16">
        <v>0.18322916666666667</v>
      </c>
      <c r="G57" s="44">
        <f t="shared" si="15"/>
        <v>5.2129629629629637E-2</v>
      </c>
      <c r="H57" s="27">
        <v>0.24392361111111113</v>
      </c>
      <c r="I57" s="45">
        <f t="shared" si="16"/>
        <v>6.0694444444444468E-2</v>
      </c>
      <c r="J57" s="27">
        <v>0.31119212962962967</v>
      </c>
      <c r="K57" s="45">
        <f t="shared" si="17"/>
        <v>6.7268518518518533E-2</v>
      </c>
      <c r="L57" s="24">
        <v>0.35877314814814815</v>
      </c>
      <c r="M57" s="46">
        <f t="shared" si="18"/>
        <v>4.7581018518518481E-2</v>
      </c>
      <c r="N57" s="27">
        <v>0.4231712962962963</v>
      </c>
      <c r="O57" s="47">
        <f t="shared" si="19"/>
        <v>6.4398148148148149E-2</v>
      </c>
      <c r="P57" s="27">
        <v>0.4231712962962963</v>
      </c>
      <c r="Q57" s="35">
        <v>2</v>
      </c>
    </row>
    <row r="58" spans="1:17" x14ac:dyDescent="0.35">
      <c r="A58" s="1">
        <v>66</v>
      </c>
      <c r="B58" s="1" t="str">
        <f>VLOOKUP(A58,Registration!$B$3:$C$77,2,FALSE)</f>
        <v>Corp</v>
      </c>
      <c r="C58" s="44">
        <v>6.9085648148148146E-2</v>
      </c>
      <c r="D58" s="16">
        <v>0.14064814814814816</v>
      </c>
      <c r="E58" s="44">
        <f t="shared" si="14"/>
        <v>7.1562500000000015E-2</v>
      </c>
      <c r="F58" s="16">
        <v>0.19567129629629632</v>
      </c>
      <c r="G58" s="44">
        <f t="shared" si="15"/>
        <v>5.5023148148148154E-2</v>
      </c>
      <c r="H58" s="27">
        <v>0.25787037037037036</v>
      </c>
      <c r="I58" s="45">
        <f t="shared" si="16"/>
        <v>6.2199074074074046E-2</v>
      </c>
      <c r="J58" s="27">
        <v>0.31653935185185184</v>
      </c>
      <c r="K58" s="45">
        <f t="shared" si="17"/>
        <v>5.8668981481481475E-2</v>
      </c>
      <c r="L58" s="24">
        <v>0.37837962962962962</v>
      </c>
      <c r="M58" s="46">
        <f t="shared" si="18"/>
        <v>6.1840277777777786E-2</v>
      </c>
      <c r="N58" s="27">
        <v>0.43089120370370365</v>
      </c>
      <c r="O58" s="47">
        <f t="shared" si="19"/>
        <v>5.251157407407403E-2</v>
      </c>
      <c r="P58" s="27">
        <v>0.43089120370370365</v>
      </c>
      <c r="Q58" s="35">
        <v>3</v>
      </c>
    </row>
    <row r="59" spans="1:17" x14ac:dyDescent="0.35">
      <c r="A59" s="1">
        <v>62</v>
      </c>
      <c r="B59" s="1" t="str">
        <f>VLOOKUP(A59,Registration!$B$3:$C$77,2,FALSE)</f>
        <v>Corp</v>
      </c>
      <c r="C59" s="44">
        <v>6.6365740740740739E-2</v>
      </c>
      <c r="D59" s="16">
        <v>0.14303240740740741</v>
      </c>
      <c r="E59" s="44">
        <f t="shared" si="14"/>
        <v>7.6666666666666675E-2</v>
      </c>
      <c r="F59" s="16">
        <v>0.19342592592592592</v>
      </c>
      <c r="G59" s="44">
        <f t="shared" si="15"/>
        <v>5.0393518518518504E-2</v>
      </c>
      <c r="H59" s="27">
        <v>0.24763888888888888</v>
      </c>
      <c r="I59" s="45">
        <f t="shared" si="16"/>
        <v>5.4212962962962963E-2</v>
      </c>
      <c r="J59" s="27">
        <v>0.31219907407407405</v>
      </c>
      <c r="K59" s="45">
        <f t="shared" si="17"/>
        <v>6.4560185185185165E-2</v>
      </c>
      <c r="L59" s="24">
        <v>0.37975694444444441</v>
      </c>
      <c r="M59" s="46">
        <f t="shared" si="18"/>
        <v>6.7557870370370365E-2</v>
      </c>
      <c r="N59" s="27">
        <v>0.44254629629629627</v>
      </c>
      <c r="O59" s="47">
        <f t="shared" si="19"/>
        <v>6.278935185185186E-2</v>
      </c>
      <c r="P59" s="27">
        <v>0.44254629629629627</v>
      </c>
      <c r="Q59" s="35">
        <v>4</v>
      </c>
    </row>
    <row r="60" spans="1:17" x14ac:dyDescent="0.35">
      <c r="A60" s="1">
        <v>63</v>
      </c>
      <c r="B60" s="1" t="str">
        <f>VLOOKUP(A60,Registration!$B$3:$C$77,2,FALSE)</f>
        <v>Corp</v>
      </c>
      <c r="C60" s="44">
        <v>5.4652777777777772E-2</v>
      </c>
      <c r="D60" s="16">
        <v>0.13030092592592593</v>
      </c>
      <c r="E60" s="44">
        <f t="shared" si="14"/>
        <v>7.5648148148148159E-2</v>
      </c>
      <c r="F60" s="16">
        <v>0.17857638888888891</v>
      </c>
      <c r="G60" s="44">
        <f t="shared" si="15"/>
        <v>4.8275462962962978E-2</v>
      </c>
      <c r="H60" s="27">
        <v>0.23146990740740739</v>
      </c>
      <c r="I60" s="45">
        <f t="shared" si="16"/>
        <v>5.2893518518518479E-2</v>
      </c>
      <c r="J60" s="27">
        <v>0.31516203703703705</v>
      </c>
      <c r="K60" s="45">
        <f t="shared" si="17"/>
        <v>8.3692129629629658E-2</v>
      </c>
      <c r="L60" s="24">
        <v>0.38177083333333334</v>
      </c>
      <c r="M60" s="46">
        <f t="shared" si="18"/>
        <v>6.6608796296296291E-2</v>
      </c>
      <c r="N60" s="27">
        <v>0.44523148148148151</v>
      </c>
      <c r="O60" s="47">
        <f t="shared" si="19"/>
        <v>6.3460648148148169E-2</v>
      </c>
      <c r="P60" s="27">
        <v>0.44523148148148151</v>
      </c>
      <c r="Q60" s="35">
        <v>5</v>
      </c>
    </row>
    <row r="61" spans="1:17" x14ac:dyDescent="0.35">
      <c r="A61" s="1">
        <v>64</v>
      </c>
      <c r="B61" s="1" t="str">
        <f>VLOOKUP(A61,Registration!$B$3:$C$77,2,FALSE)</f>
        <v>Corp</v>
      </c>
      <c r="C61" s="44">
        <v>5.8240740740740739E-2</v>
      </c>
      <c r="D61" s="16">
        <v>0.13170138888888888</v>
      </c>
      <c r="E61" s="44">
        <f t="shared" si="14"/>
        <v>7.346064814814815E-2</v>
      </c>
      <c r="F61" s="16">
        <v>0.20125000000000001</v>
      </c>
      <c r="G61" s="44">
        <f t="shared" si="15"/>
        <v>6.954861111111113E-2</v>
      </c>
      <c r="H61" s="27">
        <v>0.27013888888888887</v>
      </c>
      <c r="I61" s="45">
        <f t="shared" si="16"/>
        <v>6.8888888888888861E-2</v>
      </c>
      <c r="J61" s="27">
        <v>0.33307870370370368</v>
      </c>
      <c r="K61" s="45">
        <f t="shared" si="17"/>
        <v>6.293981481481481E-2</v>
      </c>
      <c r="L61" s="24">
        <v>0.39792824074074074</v>
      </c>
      <c r="M61" s="46">
        <f t="shared" si="18"/>
        <v>6.4849537037037053E-2</v>
      </c>
      <c r="N61" s="27">
        <v>0.47384259259259259</v>
      </c>
      <c r="O61" s="47">
        <f t="shared" si="19"/>
        <v>7.5914351851851858E-2</v>
      </c>
      <c r="P61" s="27">
        <v>0.47384259259259259</v>
      </c>
      <c r="Q61" s="35">
        <v>6</v>
      </c>
    </row>
    <row r="62" spans="1:17" x14ac:dyDescent="0.35">
      <c r="A62" s="1">
        <v>67</v>
      </c>
      <c r="B62" s="1" t="str">
        <f>VLOOKUP(A62,Registration!$B$3:$C$77,2,FALSE)</f>
        <v>Corp</v>
      </c>
      <c r="C62" s="44">
        <v>7.604166666666666E-2</v>
      </c>
      <c r="D62" s="16">
        <v>0.17718750000000003</v>
      </c>
      <c r="E62" s="44">
        <f t="shared" si="14"/>
        <v>0.10114583333333337</v>
      </c>
      <c r="F62" s="16">
        <v>0.19793981481481482</v>
      </c>
      <c r="G62" s="44">
        <f t="shared" si="15"/>
        <v>2.0752314814814793E-2</v>
      </c>
      <c r="H62" s="27">
        <v>0.30646990740740737</v>
      </c>
      <c r="I62" s="45">
        <f t="shared" si="16"/>
        <v>0.10853009259259255</v>
      </c>
      <c r="J62" s="27">
        <v>0.36504629629629631</v>
      </c>
      <c r="K62" s="45">
        <f t="shared" si="17"/>
        <v>5.8576388888888942E-2</v>
      </c>
      <c r="L62" s="24">
        <v>0.41957175925925921</v>
      </c>
      <c r="M62" s="46">
        <f t="shared" si="18"/>
        <v>5.4525462962962901E-2</v>
      </c>
      <c r="N62" s="27">
        <v>0.47998842592592594</v>
      </c>
      <c r="O62" s="47">
        <f t="shared" si="19"/>
        <v>6.041666666666673E-2</v>
      </c>
      <c r="P62" s="27">
        <v>0.47998842592592594</v>
      </c>
      <c r="Q62" s="35">
        <v>7</v>
      </c>
    </row>
    <row r="63" spans="1:17" x14ac:dyDescent="0.35">
      <c r="A63" s="1">
        <v>61</v>
      </c>
      <c r="B63" s="1" t="s">
        <v>96</v>
      </c>
      <c r="C63" s="44"/>
      <c r="D63" s="16">
        <v>0.13747685185185185</v>
      </c>
      <c r="E63" s="44"/>
      <c r="F63" s="16">
        <v>0.20709490740740741</v>
      </c>
      <c r="G63" s="44">
        <f t="shared" si="15"/>
        <v>6.9618055555555558E-2</v>
      </c>
      <c r="H63" s="27">
        <v>0.27834490740740742</v>
      </c>
      <c r="I63" s="45">
        <f t="shared" si="16"/>
        <v>7.1250000000000008E-2</v>
      </c>
      <c r="J63" s="27">
        <v>0.37525462962962958</v>
      </c>
      <c r="K63" s="45">
        <f t="shared" si="17"/>
        <v>9.6909722222222161E-2</v>
      </c>
      <c r="L63" s="24">
        <v>0.42835648148148148</v>
      </c>
      <c r="M63" s="46">
        <f t="shared" si="18"/>
        <v>5.31018518518519E-2</v>
      </c>
      <c r="N63" s="27">
        <v>0.48496527777777776</v>
      </c>
      <c r="O63" s="47">
        <f t="shared" si="19"/>
        <v>5.6608796296296282E-2</v>
      </c>
      <c r="P63" s="27">
        <v>0.48496527777777776</v>
      </c>
      <c r="Q63" s="35">
        <v>8</v>
      </c>
    </row>
    <row r="64" spans="1:17" x14ac:dyDescent="0.35">
      <c r="A64" s="1">
        <v>59</v>
      </c>
      <c r="B64" s="1" t="str">
        <f>VLOOKUP(A64,Registration!$B$3:$C$77,2,FALSE)</f>
        <v>Corp</v>
      </c>
      <c r="C64" s="44">
        <v>5.5555555555555552E-2</v>
      </c>
      <c r="D64" s="16">
        <v>0.13787037037037037</v>
      </c>
      <c r="E64" s="44">
        <f>+D64-C64</f>
        <v>8.2314814814814813E-2</v>
      </c>
      <c r="F64" s="16">
        <v>0.19817129629629629</v>
      </c>
      <c r="G64" s="44">
        <f t="shared" si="15"/>
        <v>6.0300925925925924E-2</v>
      </c>
      <c r="H64" s="27">
        <v>0.24479166666666666</v>
      </c>
      <c r="I64" s="45">
        <f t="shared" si="16"/>
        <v>4.6620370370370368E-2</v>
      </c>
      <c r="J64" s="27"/>
      <c r="K64" s="45"/>
      <c r="L64" s="24"/>
      <c r="M64" s="46"/>
      <c r="N64" s="27"/>
      <c r="O64" s="47"/>
      <c r="P64" s="27"/>
      <c r="Q64" s="35" t="s">
        <v>127</v>
      </c>
    </row>
    <row r="65" spans="1:17" x14ac:dyDescent="0.35">
      <c r="A65" s="1">
        <v>68</v>
      </c>
      <c r="B65" s="1" t="str">
        <f>VLOOKUP(A65,Registration!$B$3:$C$77,2,FALSE)</f>
        <v>HS-Girls</v>
      </c>
      <c r="C65" s="44">
        <v>6.4386574074074068E-2</v>
      </c>
      <c r="D65" s="16">
        <v>0.16753472222222221</v>
      </c>
      <c r="E65" s="44">
        <f t="shared" ref="E65" si="20">+D65-C65</f>
        <v>0.10314814814814814</v>
      </c>
      <c r="F65" s="16">
        <v>0.23575231481481482</v>
      </c>
      <c r="G65" s="44">
        <f t="shared" si="13"/>
        <v>6.8217592592592607E-2</v>
      </c>
      <c r="H65" s="27">
        <v>0.30056712962962961</v>
      </c>
      <c r="I65" s="45">
        <f t="shared" si="10"/>
        <v>6.4814814814814797E-2</v>
      </c>
      <c r="J65" s="27">
        <v>0.37282407407407409</v>
      </c>
      <c r="K65" s="45">
        <f t="shared" ref="K65" si="21">+J65-H65</f>
        <v>7.2256944444444471E-2</v>
      </c>
      <c r="L65" s="24">
        <v>0.43332175925925925</v>
      </c>
      <c r="M65" s="46">
        <f t="shared" ref="M65" si="22">+L65-J65</f>
        <v>6.0497685185185168E-2</v>
      </c>
      <c r="N65" s="27">
        <v>0.50186342592592592</v>
      </c>
      <c r="O65" s="47">
        <f t="shared" ref="O65" si="23">+N65-L65</f>
        <v>6.8541666666666667E-2</v>
      </c>
      <c r="P65" s="27">
        <v>0.50186342592592592</v>
      </c>
      <c r="Q65" s="35">
        <v>1</v>
      </c>
    </row>
    <row r="66" spans="1:17" x14ac:dyDescent="0.35">
      <c r="A66" s="1">
        <v>73</v>
      </c>
      <c r="B66" s="1" t="str">
        <f>VLOOKUP(A66,Registration!$B$3:$C$77,2,FALSE)</f>
        <v>HS-Boys</v>
      </c>
      <c r="C66" s="44">
        <v>3.9259259259259258E-2</v>
      </c>
      <c r="D66" s="16">
        <v>0.10108796296296296</v>
      </c>
      <c r="E66" s="44">
        <f>+D66-C66</f>
        <v>6.1828703703703705E-2</v>
      </c>
      <c r="F66" s="16">
        <v>0.14378472222222222</v>
      </c>
      <c r="G66" s="44">
        <f>+F66-D66</f>
        <v>4.2696759259259254E-2</v>
      </c>
      <c r="H66" s="27">
        <v>0.18550925925925923</v>
      </c>
      <c r="I66" s="45">
        <f>+H66-F66</f>
        <v>4.1724537037037018E-2</v>
      </c>
      <c r="J66" s="27">
        <v>0.23518518518518516</v>
      </c>
      <c r="K66" s="45">
        <f>+J66-H66</f>
        <v>4.9675925925925929E-2</v>
      </c>
      <c r="L66" s="24">
        <v>0.27968750000000003</v>
      </c>
      <c r="M66" s="46">
        <f>+L66-J66</f>
        <v>4.450231481481487E-2</v>
      </c>
      <c r="N66" s="27">
        <v>0.32894675925925926</v>
      </c>
      <c r="O66" s="47">
        <f>+N66-L66</f>
        <v>4.9259259259259225E-2</v>
      </c>
      <c r="P66" s="27">
        <v>0.32894675925925926</v>
      </c>
      <c r="Q66" s="35">
        <v>1</v>
      </c>
    </row>
    <row r="67" spans="1:17" x14ac:dyDescent="0.35">
      <c r="A67" s="1">
        <v>70</v>
      </c>
      <c r="B67" s="1" t="str">
        <f>VLOOKUP(A67,Registration!$B$3:$C$77,2,FALSE)</f>
        <v>HS-Boys</v>
      </c>
      <c r="C67" s="44">
        <v>4.6550925925925919E-2</v>
      </c>
      <c r="D67" s="16">
        <v>0.11405092592592592</v>
      </c>
      <c r="E67" s="44">
        <f>+D67-C67</f>
        <v>6.7500000000000004E-2</v>
      </c>
      <c r="F67" s="16">
        <v>0.16187499999999999</v>
      </c>
      <c r="G67" s="44">
        <f>+F67-D67</f>
        <v>4.7824074074074074E-2</v>
      </c>
      <c r="H67" s="27">
        <v>0.20843750000000003</v>
      </c>
      <c r="I67" s="45">
        <f>+H67-F67</f>
        <v>4.6562500000000034E-2</v>
      </c>
      <c r="J67" s="27">
        <v>0.26359953703703703</v>
      </c>
      <c r="K67" s="45">
        <f>+J67-H67</f>
        <v>5.5162037037037009E-2</v>
      </c>
      <c r="L67" s="24">
        <v>0.3105324074074074</v>
      </c>
      <c r="M67" s="46">
        <f>+L67-J67</f>
        <v>4.6932870370370361E-2</v>
      </c>
      <c r="N67" s="27">
        <v>0.36019675925925926</v>
      </c>
      <c r="O67" s="47">
        <f>+N67-L67</f>
        <v>4.9664351851851862E-2</v>
      </c>
      <c r="P67" s="27">
        <v>0.36019675925925926</v>
      </c>
      <c r="Q67" s="35">
        <v>2</v>
      </c>
    </row>
    <row r="68" spans="1:17" x14ac:dyDescent="0.35">
      <c r="A68" s="1">
        <v>69</v>
      </c>
      <c r="B68" s="1" t="str">
        <f>VLOOKUP(A68,Registration!$B$3:$C$77,2,FALSE)</f>
        <v>HS -Boys</v>
      </c>
      <c r="C68" s="44">
        <v>4.7569444444444442E-2</v>
      </c>
      <c r="D68" s="16">
        <v>0.11743055555555555</v>
      </c>
      <c r="E68" s="44">
        <f>+D68-C68</f>
        <v>6.986111111111111E-2</v>
      </c>
      <c r="F68" s="16"/>
      <c r="G68" s="44"/>
      <c r="H68" s="27">
        <v>0.21512731481481481</v>
      </c>
      <c r="I68" s="45">
        <f>+H68-F68</f>
        <v>0.21512731481481481</v>
      </c>
      <c r="J68" s="27">
        <v>0.26862268518518517</v>
      </c>
      <c r="K68" s="45">
        <f>+J68-H68</f>
        <v>5.349537037037036E-2</v>
      </c>
      <c r="L68" s="24">
        <v>0.31440972222222224</v>
      </c>
      <c r="M68" s="46">
        <f>+L68-J68</f>
        <v>4.5787037037037071E-2</v>
      </c>
      <c r="N68" s="27">
        <v>0.36115740740740737</v>
      </c>
      <c r="O68" s="47">
        <f>+N68-L68</f>
        <v>4.6747685185185128E-2</v>
      </c>
      <c r="P68" s="27">
        <v>0.36115740740740737</v>
      </c>
      <c r="Q68" s="35">
        <v>3</v>
      </c>
    </row>
    <row r="69" spans="1:17" x14ac:dyDescent="0.35">
      <c r="A69" s="1">
        <v>71</v>
      </c>
      <c r="B69" s="1" t="str">
        <f>VLOOKUP(A69,Registration!$B$3:$C$77,2,FALSE)</f>
        <v>HS-Boys</v>
      </c>
      <c r="C69" s="44">
        <v>4.868055555555556E-2</v>
      </c>
      <c r="D69" s="16">
        <v>0.10685185185185185</v>
      </c>
      <c r="E69" s="44">
        <f>+D69-C69</f>
        <v>5.817129629629629E-2</v>
      </c>
      <c r="F69" s="16">
        <v>0.16231481481481483</v>
      </c>
      <c r="G69" s="44">
        <f>+F69-D69</f>
        <v>5.5462962962962978E-2</v>
      </c>
      <c r="H69" s="27">
        <v>0.21184027777777778</v>
      </c>
      <c r="I69" s="45">
        <f>+H69-F69</f>
        <v>4.9525462962962952E-2</v>
      </c>
      <c r="J69" s="27">
        <v>0.27143518518518522</v>
      </c>
      <c r="K69" s="45">
        <f>+J69-H69</f>
        <v>5.9594907407407444E-2</v>
      </c>
      <c r="L69" s="24">
        <v>0.3225925925925926</v>
      </c>
      <c r="M69" s="46">
        <f>+L69-J69</f>
        <v>5.1157407407407374E-2</v>
      </c>
      <c r="N69" s="27">
        <v>0.38560185185185186</v>
      </c>
      <c r="O69" s="47">
        <f>+N69-L69</f>
        <v>6.3009259259259265E-2</v>
      </c>
      <c r="P69" s="27">
        <v>0.38560185185185186</v>
      </c>
      <c r="Q69" s="35">
        <v>4</v>
      </c>
    </row>
    <row r="70" spans="1:17" x14ac:dyDescent="0.35">
      <c r="A70" s="1">
        <v>72</v>
      </c>
      <c r="B70" s="1" t="str">
        <f>VLOOKUP(A70,Registration!$B$3:$C$77,2,FALSE)</f>
        <v>HS-Boys</v>
      </c>
      <c r="C70" s="44">
        <v>4.6678240740740735E-2</v>
      </c>
      <c r="D70" s="16">
        <v>0.1143287037037037</v>
      </c>
      <c r="E70" s="44">
        <f>+D70-C70</f>
        <v>6.7650462962962954E-2</v>
      </c>
      <c r="F70" s="16">
        <v>0.1732060185185185</v>
      </c>
      <c r="G70" s="44">
        <f>+F70-D70</f>
        <v>5.8877314814814799E-2</v>
      </c>
      <c r="H70" s="27">
        <v>0.23012731481481483</v>
      </c>
      <c r="I70" s="45">
        <f>+H70-F70</f>
        <v>5.6921296296296331E-2</v>
      </c>
      <c r="J70" s="27">
        <v>0.29138888888888886</v>
      </c>
      <c r="K70" s="45">
        <f>+J70-H70</f>
        <v>6.1261574074074038E-2</v>
      </c>
      <c r="L70" s="24">
        <v>0.33550925925925923</v>
      </c>
      <c r="M70" s="46">
        <f>+L70-J70</f>
        <v>4.4120370370370365E-2</v>
      </c>
      <c r="N70" s="27">
        <v>0.38611111111111113</v>
      </c>
      <c r="O70" s="47">
        <f>+N70-L70</f>
        <v>5.0601851851851898E-2</v>
      </c>
      <c r="P70" s="27">
        <v>0.38611111111111113</v>
      </c>
      <c r="Q70" s="35">
        <v>5</v>
      </c>
    </row>
  </sheetData>
  <sortState ref="A51:O55">
    <sortCondition ref="N51:N55"/>
  </sortState>
  <pageMargins left="0.7" right="0.7" top="0.75" bottom="0.75" header="0.3" footer="0.3"/>
  <pageSetup scale="54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workbookViewId="0">
      <selection activeCell="F30" sqref="F30"/>
    </sheetView>
  </sheetViews>
  <sheetFormatPr defaultColWidth="10.81640625" defaultRowHeight="14.5" x14ac:dyDescent="0.35"/>
  <cols>
    <col min="1" max="1" width="6.36328125" customWidth="1"/>
    <col min="2" max="2" width="6.81640625" style="1" customWidth="1"/>
    <col min="4" max="4" width="6.1796875" customWidth="1"/>
    <col min="5" max="5" width="6.6328125" customWidth="1"/>
    <col min="6" max="6" width="10.81640625" style="1"/>
  </cols>
  <sheetData>
    <row r="1" spans="1:6" ht="15.5" x14ac:dyDescent="0.35">
      <c r="A1" s="4" t="s">
        <v>22</v>
      </c>
    </row>
    <row r="2" spans="1:6" ht="32" customHeight="1" x14ac:dyDescent="0.45">
      <c r="B2" s="28" t="s">
        <v>27</v>
      </c>
      <c r="C2" s="26"/>
      <c r="D2" s="19"/>
      <c r="E2" s="5"/>
    </row>
    <row r="3" spans="1:6" ht="18.5" x14ac:dyDescent="0.45">
      <c r="B3" s="28"/>
      <c r="C3" s="26"/>
      <c r="D3" s="19"/>
      <c r="E3" s="5"/>
    </row>
    <row r="4" spans="1:6" ht="31" x14ac:dyDescent="0.35">
      <c r="A4" s="29" t="s">
        <v>23</v>
      </c>
      <c r="B4" s="11" t="s">
        <v>5</v>
      </c>
      <c r="C4" s="30" t="s">
        <v>15</v>
      </c>
      <c r="D4" s="11" t="s">
        <v>0</v>
      </c>
      <c r="E4" s="11" t="s">
        <v>1</v>
      </c>
      <c r="F4" s="33" t="s">
        <v>17</v>
      </c>
    </row>
    <row r="5" spans="1:6" x14ac:dyDescent="0.35">
      <c r="A5" s="1">
        <v>1</v>
      </c>
      <c r="C5" s="27"/>
      <c r="D5" s="1" t="e">
        <f>VLOOKUP(B5,Registration!$B$3:$C$77,2,FALSE)</f>
        <v>#N/A</v>
      </c>
      <c r="E5" s="1"/>
      <c r="F5" s="27">
        <f>C5/72</f>
        <v>0</v>
      </c>
    </row>
    <row r="6" spans="1:6" x14ac:dyDescent="0.35">
      <c r="A6" s="1">
        <v>2</v>
      </c>
      <c r="C6" s="27"/>
      <c r="D6" s="1" t="e">
        <f>VLOOKUP(B6,Registration!$B$3:$C$77,2,FALSE)</f>
        <v>#N/A</v>
      </c>
      <c r="E6" s="1"/>
      <c r="F6" s="27">
        <f t="shared" ref="F6:F69" si="0">C6/72</f>
        <v>0</v>
      </c>
    </row>
    <row r="7" spans="1:6" x14ac:dyDescent="0.35">
      <c r="A7" s="1">
        <v>3</v>
      </c>
      <c r="C7" s="27"/>
      <c r="D7" s="1" t="e">
        <f>VLOOKUP(B7,Registration!$B$3:$C$77,2,FALSE)</f>
        <v>#N/A</v>
      </c>
      <c r="E7" s="1"/>
      <c r="F7" s="27">
        <f t="shared" si="0"/>
        <v>0</v>
      </c>
    </row>
    <row r="8" spans="1:6" x14ac:dyDescent="0.35">
      <c r="A8" s="32">
        <v>4</v>
      </c>
      <c r="B8" s="32"/>
      <c r="C8" s="27"/>
      <c r="D8" s="1" t="e">
        <f>VLOOKUP(B8,Registration!$B$3:$C$77,2,FALSE)</f>
        <v>#N/A</v>
      </c>
      <c r="E8" s="1"/>
      <c r="F8" s="27">
        <f t="shared" si="0"/>
        <v>0</v>
      </c>
    </row>
    <row r="9" spans="1:6" x14ac:dyDescent="0.35">
      <c r="A9" s="1">
        <v>5</v>
      </c>
      <c r="C9" s="27"/>
      <c r="D9" s="1" t="e">
        <f>VLOOKUP(B9,Registration!$B$3:$C$77,2,FALSE)</f>
        <v>#N/A</v>
      </c>
      <c r="E9" s="1"/>
      <c r="F9" s="27">
        <f t="shared" si="0"/>
        <v>0</v>
      </c>
    </row>
    <row r="10" spans="1:6" x14ac:dyDescent="0.35">
      <c r="A10" s="1">
        <v>6</v>
      </c>
      <c r="C10" s="27"/>
      <c r="D10" s="1" t="e">
        <f>VLOOKUP(B10,Registration!$B$3:$C$77,2,FALSE)</f>
        <v>#N/A</v>
      </c>
      <c r="E10" s="1"/>
      <c r="F10" s="27">
        <f t="shared" si="0"/>
        <v>0</v>
      </c>
    </row>
    <row r="11" spans="1:6" x14ac:dyDescent="0.35">
      <c r="A11" s="1">
        <v>7</v>
      </c>
      <c r="C11" s="27"/>
      <c r="D11" s="1" t="e">
        <f>VLOOKUP(B11,Registration!$B$3:$C$77,2,FALSE)</f>
        <v>#N/A</v>
      </c>
      <c r="E11" s="1"/>
      <c r="F11" s="27">
        <f t="shared" si="0"/>
        <v>0</v>
      </c>
    </row>
    <row r="12" spans="1:6" x14ac:dyDescent="0.35">
      <c r="A12" s="1">
        <v>8</v>
      </c>
      <c r="C12" s="27"/>
      <c r="D12" s="1" t="e">
        <f>VLOOKUP(B12,Registration!$B$3:$C$77,2,FALSE)</f>
        <v>#N/A</v>
      </c>
      <c r="E12" s="1"/>
      <c r="F12" s="27">
        <f t="shared" si="0"/>
        <v>0</v>
      </c>
    </row>
    <row r="13" spans="1:6" x14ac:dyDescent="0.35">
      <c r="A13" s="1">
        <v>9</v>
      </c>
      <c r="C13" s="27"/>
      <c r="D13" s="1" t="e">
        <f>VLOOKUP(B13,Registration!$B$3:$C$77,2,FALSE)</f>
        <v>#N/A</v>
      </c>
      <c r="E13" s="1"/>
      <c r="F13" s="27">
        <f t="shared" si="0"/>
        <v>0</v>
      </c>
    </row>
    <row r="14" spans="1:6" x14ac:dyDescent="0.35">
      <c r="A14" s="1">
        <v>10</v>
      </c>
      <c r="C14" s="27"/>
      <c r="D14" s="1" t="e">
        <f>VLOOKUP(B14,Registration!$B$3:$C$77,2,FALSE)</f>
        <v>#N/A</v>
      </c>
      <c r="E14" s="1"/>
      <c r="F14" s="27">
        <f t="shared" si="0"/>
        <v>0</v>
      </c>
    </row>
    <row r="15" spans="1:6" x14ac:dyDescent="0.35">
      <c r="A15" s="1">
        <v>11</v>
      </c>
      <c r="C15" s="27"/>
      <c r="D15" s="1" t="e">
        <f>VLOOKUP(B15,Registration!$B$3:$C$77,2,FALSE)</f>
        <v>#N/A</v>
      </c>
      <c r="E15" s="1"/>
      <c r="F15" s="27">
        <f t="shared" si="0"/>
        <v>0</v>
      </c>
    </row>
    <row r="16" spans="1:6" x14ac:dyDescent="0.35">
      <c r="A16" s="1">
        <v>12</v>
      </c>
      <c r="C16" s="27"/>
      <c r="D16" s="1" t="e">
        <f>VLOOKUP(B16,Registration!$B$3:$C$77,2,FALSE)</f>
        <v>#N/A</v>
      </c>
      <c r="E16" s="1"/>
      <c r="F16" s="27">
        <f t="shared" si="0"/>
        <v>0</v>
      </c>
    </row>
    <row r="17" spans="1:6" x14ac:dyDescent="0.35">
      <c r="A17" s="1">
        <v>13</v>
      </c>
      <c r="C17" s="27"/>
      <c r="D17" s="1" t="e">
        <f>VLOOKUP(B17,Registration!$B$3:$C$77,2,FALSE)</f>
        <v>#N/A</v>
      </c>
      <c r="E17" s="1"/>
      <c r="F17" s="27">
        <f t="shared" si="0"/>
        <v>0</v>
      </c>
    </row>
    <row r="18" spans="1:6" x14ac:dyDescent="0.35">
      <c r="A18" s="1">
        <v>14</v>
      </c>
      <c r="C18" s="27"/>
      <c r="D18" s="1" t="e">
        <f>VLOOKUP(B18,Registration!$B$3:$C$77,2,FALSE)</f>
        <v>#N/A</v>
      </c>
      <c r="E18" s="1"/>
      <c r="F18" s="27">
        <f t="shared" si="0"/>
        <v>0</v>
      </c>
    </row>
    <row r="19" spans="1:6" x14ac:dyDescent="0.35">
      <c r="A19" s="1">
        <v>15</v>
      </c>
      <c r="C19" s="27"/>
      <c r="D19" s="1" t="e">
        <f>VLOOKUP(B19,Registration!$B$3:$C$77,2,FALSE)</f>
        <v>#N/A</v>
      </c>
      <c r="E19" s="1"/>
      <c r="F19" s="27">
        <f t="shared" si="0"/>
        <v>0</v>
      </c>
    </row>
    <row r="20" spans="1:6" x14ac:dyDescent="0.35">
      <c r="A20" s="1">
        <v>16</v>
      </c>
      <c r="C20" s="27"/>
      <c r="D20" s="1" t="e">
        <f>VLOOKUP(B20,Registration!$B$3:$C$77,2,FALSE)</f>
        <v>#N/A</v>
      </c>
      <c r="E20" s="1"/>
      <c r="F20" s="27">
        <f t="shared" si="0"/>
        <v>0</v>
      </c>
    </row>
    <row r="21" spans="1:6" x14ac:dyDescent="0.35">
      <c r="A21" s="1">
        <v>17</v>
      </c>
      <c r="C21" s="27"/>
      <c r="D21" s="1" t="e">
        <f>VLOOKUP(B21,Registration!$B$3:$C$77,2,FALSE)</f>
        <v>#N/A</v>
      </c>
      <c r="E21" s="1"/>
      <c r="F21" s="27">
        <f t="shared" si="0"/>
        <v>0</v>
      </c>
    </row>
    <row r="22" spans="1:6" x14ac:dyDescent="0.35">
      <c r="A22" s="1">
        <v>18</v>
      </c>
      <c r="C22" s="27"/>
      <c r="D22" s="1" t="e">
        <f>VLOOKUP(B22,Registration!$B$3:$C$77,2,FALSE)</f>
        <v>#N/A</v>
      </c>
      <c r="E22" s="1"/>
      <c r="F22" s="27">
        <f t="shared" si="0"/>
        <v>0</v>
      </c>
    </row>
    <row r="23" spans="1:6" x14ac:dyDescent="0.35">
      <c r="A23" s="1">
        <v>19</v>
      </c>
      <c r="C23" s="27"/>
      <c r="D23" s="1" t="e">
        <f>VLOOKUP(B23,Registration!$B$3:$C$77,2,FALSE)</f>
        <v>#N/A</v>
      </c>
      <c r="E23" s="1"/>
      <c r="F23" s="27">
        <f t="shared" si="0"/>
        <v>0</v>
      </c>
    </row>
    <row r="24" spans="1:6" x14ac:dyDescent="0.35">
      <c r="A24" s="1">
        <v>20</v>
      </c>
      <c r="C24" s="27"/>
      <c r="D24" s="1" t="e">
        <f>VLOOKUP(B24,Registration!$B$3:$C$77,2,FALSE)</f>
        <v>#N/A</v>
      </c>
      <c r="E24" s="1"/>
      <c r="F24" s="27">
        <f t="shared" si="0"/>
        <v>0</v>
      </c>
    </row>
    <row r="25" spans="1:6" x14ac:dyDescent="0.35">
      <c r="A25" s="1">
        <v>21</v>
      </c>
      <c r="C25" s="27"/>
      <c r="D25" s="1" t="e">
        <f>VLOOKUP(B25,Registration!$B$3:$C$77,2,FALSE)</f>
        <v>#N/A</v>
      </c>
      <c r="E25" s="1"/>
      <c r="F25" s="27">
        <f t="shared" si="0"/>
        <v>0</v>
      </c>
    </row>
    <row r="26" spans="1:6" x14ac:dyDescent="0.35">
      <c r="A26" s="1">
        <v>22</v>
      </c>
      <c r="C26" s="27"/>
      <c r="D26" s="1" t="e">
        <f>VLOOKUP(B26,Registration!$B$3:$C$77,2,FALSE)</f>
        <v>#N/A</v>
      </c>
      <c r="E26" s="1"/>
      <c r="F26" s="27">
        <f t="shared" si="0"/>
        <v>0</v>
      </c>
    </row>
    <row r="27" spans="1:6" x14ac:dyDescent="0.35">
      <c r="A27" s="1">
        <v>23</v>
      </c>
      <c r="C27" s="27"/>
      <c r="D27" s="1" t="e">
        <f>VLOOKUP(B27,Registration!$B$3:$C$77,2,FALSE)</f>
        <v>#N/A</v>
      </c>
      <c r="E27" s="1"/>
      <c r="F27" s="27">
        <f t="shared" si="0"/>
        <v>0</v>
      </c>
    </row>
    <row r="28" spans="1:6" x14ac:dyDescent="0.35">
      <c r="A28" s="1">
        <v>24</v>
      </c>
      <c r="C28" s="27"/>
      <c r="D28" s="1" t="e">
        <f>VLOOKUP(B28,Registration!$B$3:$C$77,2,FALSE)</f>
        <v>#N/A</v>
      </c>
      <c r="E28" s="1"/>
      <c r="F28" s="27">
        <f t="shared" si="0"/>
        <v>0</v>
      </c>
    </row>
    <row r="29" spans="1:6" x14ac:dyDescent="0.35">
      <c r="A29" s="1">
        <v>25</v>
      </c>
      <c r="C29" s="27"/>
      <c r="D29" s="1" t="e">
        <f>VLOOKUP(B29,Registration!$B$3:$C$77,2,FALSE)</f>
        <v>#N/A</v>
      </c>
      <c r="E29" s="1"/>
      <c r="F29" s="27">
        <f t="shared" si="0"/>
        <v>0</v>
      </c>
    </row>
    <row r="30" spans="1:6" x14ac:dyDescent="0.35">
      <c r="A30" s="1">
        <v>26</v>
      </c>
      <c r="C30" s="27"/>
      <c r="D30" s="1" t="e">
        <f>VLOOKUP(B30,Registration!$B$3:$C$77,2,FALSE)</f>
        <v>#N/A</v>
      </c>
      <c r="E30" s="1"/>
      <c r="F30" s="27">
        <f t="shared" si="0"/>
        <v>0</v>
      </c>
    </row>
    <row r="31" spans="1:6" x14ac:dyDescent="0.35">
      <c r="A31" s="1">
        <v>27</v>
      </c>
      <c r="C31" s="27"/>
      <c r="D31" s="1" t="e">
        <f>VLOOKUP(B31,Registration!$B$3:$C$77,2,FALSE)</f>
        <v>#N/A</v>
      </c>
      <c r="E31" s="1"/>
      <c r="F31" s="27">
        <f t="shared" si="0"/>
        <v>0</v>
      </c>
    </row>
    <row r="32" spans="1:6" x14ac:dyDescent="0.35">
      <c r="A32" s="1">
        <v>28</v>
      </c>
      <c r="C32" s="27"/>
      <c r="D32" s="1" t="e">
        <f>VLOOKUP(B32,Registration!$B$3:$C$77,2,FALSE)</f>
        <v>#N/A</v>
      </c>
      <c r="E32" s="1"/>
      <c r="F32" s="27">
        <f t="shared" si="0"/>
        <v>0</v>
      </c>
    </row>
    <row r="33" spans="1:6" x14ac:dyDescent="0.35">
      <c r="A33" s="1">
        <v>29</v>
      </c>
      <c r="C33" s="27"/>
      <c r="D33" s="1" t="e">
        <f>VLOOKUP(B33,Registration!$B$3:$C$77,2,FALSE)</f>
        <v>#N/A</v>
      </c>
      <c r="E33" s="1"/>
      <c r="F33" s="27">
        <f t="shared" si="0"/>
        <v>0</v>
      </c>
    </row>
    <row r="34" spans="1:6" x14ac:dyDescent="0.35">
      <c r="A34" s="1">
        <v>30</v>
      </c>
      <c r="C34" s="27"/>
      <c r="D34" s="1" t="e">
        <f>VLOOKUP(B34,Registration!$B$3:$C$77,2,FALSE)</f>
        <v>#N/A</v>
      </c>
      <c r="E34" s="1"/>
      <c r="F34" s="27">
        <f t="shared" si="0"/>
        <v>0</v>
      </c>
    </row>
    <row r="35" spans="1:6" x14ac:dyDescent="0.35">
      <c r="A35" s="1">
        <v>31</v>
      </c>
      <c r="C35" s="27"/>
      <c r="D35" s="1" t="e">
        <f>VLOOKUP(B35,Registration!$B$3:$C$77,2,FALSE)</f>
        <v>#N/A</v>
      </c>
      <c r="E35" s="1"/>
      <c r="F35" s="27">
        <f t="shared" si="0"/>
        <v>0</v>
      </c>
    </row>
    <row r="36" spans="1:6" x14ac:dyDescent="0.35">
      <c r="A36" s="1">
        <v>32</v>
      </c>
      <c r="C36" s="27"/>
      <c r="D36" s="1" t="e">
        <f>VLOOKUP(B36,Registration!$B$3:$C$77,2,FALSE)</f>
        <v>#N/A</v>
      </c>
      <c r="E36" s="1"/>
      <c r="F36" s="27">
        <f t="shared" si="0"/>
        <v>0</v>
      </c>
    </row>
    <row r="37" spans="1:6" x14ac:dyDescent="0.35">
      <c r="A37" s="1">
        <v>33</v>
      </c>
      <c r="C37" s="27"/>
      <c r="D37" s="1" t="e">
        <f>VLOOKUP(B37,Registration!$B$3:$C$77,2,FALSE)</f>
        <v>#N/A</v>
      </c>
      <c r="E37" s="1"/>
      <c r="F37" s="27">
        <f t="shared" si="0"/>
        <v>0</v>
      </c>
    </row>
    <row r="38" spans="1:6" x14ac:dyDescent="0.35">
      <c r="A38" s="1">
        <v>34</v>
      </c>
      <c r="C38" s="27"/>
      <c r="D38" s="1" t="e">
        <f>VLOOKUP(B38,Registration!$B$3:$C$77,2,FALSE)</f>
        <v>#N/A</v>
      </c>
      <c r="E38" s="1"/>
      <c r="F38" s="27">
        <f t="shared" si="0"/>
        <v>0</v>
      </c>
    </row>
    <row r="39" spans="1:6" x14ac:dyDescent="0.35">
      <c r="A39" s="1">
        <v>35</v>
      </c>
      <c r="C39" s="27"/>
      <c r="D39" s="1" t="e">
        <f>VLOOKUP(B39,Registration!$B$3:$C$77,2,FALSE)</f>
        <v>#N/A</v>
      </c>
      <c r="E39" s="1"/>
      <c r="F39" s="27">
        <f t="shared" si="0"/>
        <v>0</v>
      </c>
    </row>
    <row r="40" spans="1:6" x14ac:dyDescent="0.35">
      <c r="A40" s="1">
        <v>36</v>
      </c>
      <c r="C40" s="27"/>
      <c r="D40" s="1" t="e">
        <f>VLOOKUP(B40,Registration!$B$3:$C$77,2,FALSE)</f>
        <v>#N/A</v>
      </c>
      <c r="E40" s="1"/>
      <c r="F40" s="27">
        <f t="shared" si="0"/>
        <v>0</v>
      </c>
    </row>
    <row r="41" spans="1:6" x14ac:dyDescent="0.35">
      <c r="A41" s="1">
        <v>37</v>
      </c>
      <c r="C41" s="27"/>
      <c r="D41" s="1" t="e">
        <f>VLOOKUP(B41,Registration!$B$3:$C$77,2,FALSE)</f>
        <v>#N/A</v>
      </c>
      <c r="E41" s="1"/>
      <c r="F41" s="27">
        <f t="shared" si="0"/>
        <v>0</v>
      </c>
    </row>
    <row r="42" spans="1:6" x14ac:dyDescent="0.35">
      <c r="A42" s="1">
        <v>38</v>
      </c>
      <c r="C42" s="27"/>
      <c r="D42" s="1" t="e">
        <f>VLOOKUP(B42,Registration!$B$3:$C$77,2,FALSE)</f>
        <v>#N/A</v>
      </c>
      <c r="E42" s="1"/>
      <c r="F42" s="27">
        <f t="shared" si="0"/>
        <v>0</v>
      </c>
    </row>
    <row r="43" spans="1:6" x14ac:dyDescent="0.35">
      <c r="A43" s="1">
        <v>39</v>
      </c>
      <c r="C43" s="27"/>
      <c r="D43" s="1" t="e">
        <f>VLOOKUP(B43,Registration!$B$3:$C$77,2,FALSE)</f>
        <v>#N/A</v>
      </c>
      <c r="E43" s="1"/>
      <c r="F43" s="27">
        <f t="shared" si="0"/>
        <v>0</v>
      </c>
    </row>
    <row r="44" spans="1:6" x14ac:dyDescent="0.35">
      <c r="A44" s="1">
        <v>40</v>
      </c>
      <c r="C44" s="27"/>
      <c r="D44" s="1" t="e">
        <f>VLOOKUP(B44,Registration!$B$3:$C$77,2,FALSE)</f>
        <v>#N/A</v>
      </c>
      <c r="E44" s="1"/>
      <c r="F44" s="27">
        <f t="shared" si="0"/>
        <v>0</v>
      </c>
    </row>
    <row r="45" spans="1:6" x14ac:dyDescent="0.35">
      <c r="A45" s="1">
        <v>41</v>
      </c>
      <c r="C45" s="27"/>
      <c r="D45" s="1" t="e">
        <f>VLOOKUP(B45,Registration!$B$3:$C$77,2,FALSE)</f>
        <v>#N/A</v>
      </c>
      <c r="E45" s="1"/>
      <c r="F45" s="27">
        <f t="shared" si="0"/>
        <v>0</v>
      </c>
    </row>
    <row r="46" spans="1:6" x14ac:dyDescent="0.35">
      <c r="A46" s="1">
        <v>42</v>
      </c>
      <c r="C46" s="27"/>
      <c r="D46" s="1" t="e">
        <f>VLOOKUP(B46,Registration!$B$3:$C$77,2,FALSE)</f>
        <v>#N/A</v>
      </c>
      <c r="E46" s="1"/>
      <c r="F46" s="27">
        <f t="shared" si="0"/>
        <v>0</v>
      </c>
    </row>
    <row r="47" spans="1:6" x14ac:dyDescent="0.35">
      <c r="A47" s="1">
        <v>43</v>
      </c>
      <c r="C47" s="27"/>
      <c r="D47" s="1" t="e">
        <f>VLOOKUP(B47,Registration!$B$3:$C$77,2,FALSE)</f>
        <v>#N/A</v>
      </c>
      <c r="E47" s="1"/>
      <c r="F47" s="27">
        <f t="shared" si="0"/>
        <v>0</v>
      </c>
    </row>
    <row r="48" spans="1:6" x14ac:dyDescent="0.35">
      <c r="A48" s="1">
        <v>44</v>
      </c>
      <c r="C48" s="27"/>
      <c r="D48" s="1" t="e">
        <f>VLOOKUP(B48,Registration!$B$3:$C$77,2,FALSE)</f>
        <v>#N/A</v>
      </c>
      <c r="E48" s="1"/>
      <c r="F48" s="27">
        <f t="shared" si="0"/>
        <v>0</v>
      </c>
    </row>
    <row r="49" spans="1:6" x14ac:dyDescent="0.35">
      <c r="A49" s="1">
        <v>45</v>
      </c>
      <c r="C49" s="27"/>
      <c r="D49" s="1" t="e">
        <f>VLOOKUP(B49,Registration!$B$3:$C$77,2,FALSE)</f>
        <v>#N/A</v>
      </c>
      <c r="E49" s="1"/>
      <c r="F49" s="27">
        <f t="shared" si="0"/>
        <v>0</v>
      </c>
    </row>
    <row r="50" spans="1:6" x14ac:dyDescent="0.35">
      <c r="A50" s="1">
        <v>46</v>
      </c>
      <c r="C50" s="27"/>
      <c r="D50" s="1" t="e">
        <f>VLOOKUP(B50,Registration!$B$3:$C$77,2,FALSE)</f>
        <v>#N/A</v>
      </c>
      <c r="E50" s="1"/>
      <c r="F50" s="27">
        <f t="shared" si="0"/>
        <v>0</v>
      </c>
    </row>
    <row r="51" spans="1:6" x14ac:dyDescent="0.35">
      <c r="A51" s="1">
        <v>47</v>
      </c>
      <c r="C51" s="27"/>
      <c r="D51" s="1" t="e">
        <f>VLOOKUP(B51,Registration!$B$3:$C$77,2,FALSE)</f>
        <v>#N/A</v>
      </c>
      <c r="E51" s="1"/>
      <c r="F51" s="27">
        <f t="shared" si="0"/>
        <v>0</v>
      </c>
    </row>
    <row r="52" spans="1:6" x14ac:dyDescent="0.35">
      <c r="A52" s="1">
        <v>48</v>
      </c>
      <c r="C52" s="27"/>
      <c r="D52" s="1" t="e">
        <f>VLOOKUP(B52,Registration!$B$3:$C$77,2,FALSE)</f>
        <v>#N/A</v>
      </c>
      <c r="E52" s="1"/>
      <c r="F52" s="27">
        <f t="shared" si="0"/>
        <v>0</v>
      </c>
    </row>
    <row r="53" spans="1:6" x14ac:dyDescent="0.35">
      <c r="A53" s="1">
        <v>49</v>
      </c>
      <c r="C53" s="27"/>
      <c r="D53" s="1" t="e">
        <f>VLOOKUP(B53,Registration!$B$3:$C$77,2,FALSE)</f>
        <v>#N/A</v>
      </c>
      <c r="E53" s="1"/>
      <c r="F53" s="27">
        <f t="shared" si="0"/>
        <v>0</v>
      </c>
    </row>
    <row r="54" spans="1:6" x14ac:dyDescent="0.35">
      <c r="A54" s="1">
        <v>50</v>
      </c>
      <c r="C54" s="27"/>
      <c r="D54" s="1" t="e">
        <f>VLOOKUP(B54,Registration!$B$3:$C$77,2,FALSE)</f>
        <v>#N/A</v>
      </c>
      <c r="E54" s="1"/>
      <c r="F54" s="27">
        <f t="shared" si="0"/>
        <v>0</v>
      </c>
    </row>
    <row r="55" spans="1:6" x14ac:dyDescent="0.35">
      <c r="A55" s="1">
        <v>51</v>
      </c>
      <c r="C55" s="27"/>
      <c r="D55" s="1" t="e">
        <f>VLOOKUP(B55,Registration!$B$3:$C$77,2,FALSE)</f>
        <v>#N/A</v>
      </c>
      <c r="E55" s="1"/>
      <c r="F55" s="27">
        <f t="shared" si="0"/>
        <v>0</v>
      </c>
    </row>
    <row r="56" spans="1:6" x14ac:dyDescent="0.35">
      <c r="A56" s="1">
        <v>52</v>
      </c>
      <c r="C56" s="27"/>
      <c r="D56" s="1" t="e">
        <f>VLOOKUP(B56,Registration!$B$3:$C$77,2,FALSE)</f>
        <v>#N/A</v>
      </c>
      <c r="E56" s="1"/>
      <c r="F56" s="27">
        <f t="shared" si="0"/>
        <v>0</v>
      </c>
    </row>
    <row r="57" spans="1:6" x14ac:dyDescent="0.35">
      <c r="A57" s="1">
        <v>53</v>
      </c>
      <c r="C57" s="27"/>
      <c r="D57" s="1" t="e">
        <f>VLOOKUP(B57,Registration!$B$3:$C$77,2,FALSE)</f>
        <v>#N/A</v>
      </c>
      <c r="E57" s="1"/>
      <c r="F57" s="27">
        <f t="shared" si="0"/>
        <v>0</v>
      </c>
    </row>
    <row r="58" spans="1:6" x14ac:dyDescent="0.35">
      <c r="A58" s="1">
        <v>54</v>
      </c>
      <c r="C58" s="27"/>
      <c r="D58" s="1" t="e">
        <f>VLOOKUP(B58,Registration!$B$3:$C$77,2,FALSE)</f>
        <v>#N/A</v>
      </c>
      <c r="E58" s="1"/>
      <c r="F58" s="27">
        <f t="shared" si="0"/>
        <v>0</v>
      </c>
    </row>
    <row r="59" spans="1:6" x14ac:dyDescent="0.35">
      <c r="A59" s="1">
        <v>55</v>
      </c>
      <c r="C59" s="27"/>
      <c r="D59" s="1" t="e">
        <f>VLOOKUP(B59,Registration!$B$3:$C$77,2,FALSE)</f>
        <v>#N/A</v>
      </c>
      <c r="E59" s="1"/>
      <c r="F59" s="27">
        <f t="shared" si="0"/>
        <v>0</v>
      </c>
    </row>
    <row r="60" spans="1:6" x14ac:dyDescent="0.35">
      <c r="A60" s="1">
        <v>56</v>
      </c>
      <c r="C60" s="27"/>
      <c r="D60" s="1" t="e">
        <f>VLOOKUP(B60,Registration!$B$3:$C$77,2,FALSE)</f>
        <v>#N/A</v>
      </c>
      <c r="E60" s="1"/>
      <c r="F60" s="27">
        <f t="shared" si="0"/>
        <v>0</v>
      </c>
    </row>
    <row r="61" spans="1:6" x14ac:dyDescent="0.35">
      <c r="A61" s="1">
        <v>57</v>
      </c>
      <c r="C61" s="27"/>
      <c r="D61" s="1" t="e">
        <f>VLOOKUP(B61,Registration!$B$3:$C$77,2,FALSE)</f>
        <v>#N/A</v>
      </c>
      <c r="E61" s="1"/>
      <c r="F61" s="27">
        <f t="shared" si="0"/>
        <v>0</v>
      </c>
    </row>
    <row r="62" spans="1:6" x14ac:dyDescent="0.35">
      <c r="A62" s="1">
        <v>58</v>
      </c>
      <c r="C62" s="27"/>
      <c r="D62" s="1" t="e">
        <f>VLOOKUP(B62,Registration!$B$3:$C$77,2,FALSE)</f>
        <v>#N/A</v>
      </c>
      <c r="E62" s="1"/>
      <c r="F62" s="27">
        <f t="shared" si="0"/>
        <v>0</v>
      </c>
    </row>
    <row r="63" spans="1:6" x14ac:dyDescent="0.35">
      <c r="A63" s="1">
        <v>59</v>
      </c>
      <c r="C63" s="27"/>
      <c r="D63" s="1" t="e">
        <f>VLOOKUP(B63,Registration!$B$3:$C$77,2,FALSE)</f>
        <v>#N/A</v>
      </c>
      <c r="E63" s="1"/>
      <c r="F63" s="27">
        <f t="shared" si="0"/>
        <v>0</v>
      </c>
    </row>
    <row r="64" spans="1:6" x14ac:dyDescent="0.35">
      <c r="A64" s="1">
        <v>60</v>
      </c>
      <c r="C64" s="27"/>
      <c r="D64" s="1" t="e">
        <f>VLOOKUP(B64,Registration!$B$3:$C$77,2,FALSE)</f>
        <v>#N/A</v>
      </c>
      <c r="E64" s="1"/>
      <c r="F64" s="27">
        <f t="shared" si="0"/>
        <v>0</v>
      </c>
    </row>
    <row r="65" spans="1:6" x14ac:dyDescent="0.35">
      <c r="A65" s="1">
        <v>61</v>
      </c>
      <c r="C65" s="27"/>
      <c r="D65" s="1" t="e">
        <f>VLOOKUP(B65,Registration!$B$3:$C$77,2,FALSE)</f>
        <v>#N/A</v>
      </c>
      <c r="E65" s="1"/>
      <c r="F65" s="27">
        <f t="shared" si="0"/>
        <v>0</v>
      </c>
    </row>
    <row r="66" spans="1:6" x14ac:dyDescent="0.35">
      <c r="A66" s="1">
        <v>62</v>
      </c>
      <c r="C66" s="27"/>
      <c r="D66" s="1" t="e">
        <f>VLOOKUP(B66,Registration!$B$3:$C$77,2,FALSE)</f>
        <v>#N/A</v>
      </c>
      <c r="E66" s="1"/>
      <c r="F66" s="27">
        <f t="shared" si="0"/>
        <v>0</v>
      </c>
    </row>
    <row r="67" spans="1:6" x14ac:dyDescent="0.35">
      <c r="A67" s="1">
        <v>63</v>
      </c>
      <c r="C67" s="27"/>
      <c r="D67" s="1" t="e">
        <f>VLOOKUP(B67,Registration!$B$3:$C$77,2,FALSE)</f>
        <v>#N/A</v>
      </c>
      <c r="E67" s="1"/>
      <c r="F67" s="27">
        <f t="shared" si="0"/>
        <v>0</v>
      </c>
    </row>
    <row r="68" spans="1:6" x14ac:dyDescent="0.35">
      <c r="A68" s="1">
        <v>64</v>
      </c>
      <c r="D68" s="1" t="e">
        <f>VLOOKUP(B68,Registration!$B$3:$C$77,2,FALSE)</f>
        <v>#N/A</v>
      </c>
      <c r="F68" s="27">
        <f t="shared" si="0"/>
        <v>0</v>
      </c>
    </row>
    <row r="69" spans="1:6" x14ac:dyDescent="0.35">
      <c r="A69" s="1">
        <v>65</v>
      </c>
      <c r="D69" s="1" t="e">
        <f>VLOOKUP(B69,Registration!$B$3:$C$77,2,FALSE)</f>
        <v>#N/A</v>
      </c>
      <c r="F69" s="27">
        <f t="shared" si="0"/>
        <v>0</v>
      </c>
    </row>
    <row r="70" spans="1:6" x14ac:dyDescent="0.35">
      <c r="A70" s="1">
        <v>66</v>
      </c>
      <c r="D70" s="1" t="e">
        <f>VLOOKUP(B70,Registration!$B$3:$C$77,2,FALSE)</f>
        <v>#N/A</v>
      </c>
      <c r="F70" s="27">
        <f t="shared" ref="F70:F78" si="1">C70/72</f>
        <v>0</v>
      </c>
    </row>
    <row r="71" spans="1:6" x14ac:dyDescent="0.35">
      <c r="A71" s="1">
        <v>67</v>
      </c>
      <c r="D71" s="1" t="e">
        <f>VLOOKUP(B71,Registration!$B$3:$C$77,2,FALSE)</f>
        <v>#N/A</v>
      </c>
      <c r="F71" s="27">
        <f t="shared" si="1"/>
        <v>0</v>
      </c>
    </row>
    <row r="72" spans="1:6" x14ac:dyDescent="0.35">
      <c r="A72" s="1">
        <v>68</v>
      </c>
      <c r="D72" s="1" t="e">
        <f>VLOOKUP(B72,Registration!$B$3:$C$77,2,FALSE)</f>
        <v>#N/A</v>
      </c>
      <c r="F72" s="27">
        <f t="shared" si="1"/>
        <v>0</v>
      </c>
    </row>
    <row r="73" spans="1:6" x14ac:dyDescent="0.35">
      <c r="A73" s="1">
        <v>69</v>
      </c>
      <c r="D73" s="1" t="e">
        <f>VLOOKUP(B73,Registration!$B$3:$C$77,2,FALSE)</f>
        <v>#N/A</v>
      </c>
      <c r="F73" s="27">
        <f t="shared" si="1"/>
        <v>0</v>
      </c>
    </row>
    <row r="74" spans="1:6" x14ac:dyDescent="0.35">
      <c r="A74" s="1">
        <v>70</v>
      </c>
      <c r="D74" s="1" t="e">
        <f>VLOOKUP(B74,Registration!$B$3:$C$77,2,FALSE)</f>
        <v>#N/A</v>
      </c>
      <c r="F74" s="27">
        <f t="shared" si="1"/>
        <v>0</v>
      </c>
    </row>
    <row r="75" spans="1:6" x14ac:dyDescent="0.35">
      <c r="A75" s="1">
        <v>71</v>
      </c>
      <c r="D75" s="1" t="e">
        <f>VLOOKUP(B75,Registration!$B$3:$C$77,2,FALSE)</f>
        <v>#N/A</v>
      </c>
      <c r="F75" s="27">
        <f t="shared" si="1"/>
        <v>0</v>
      </c>
    </row>
    <row r="76" spans="1:6" x14ac:dyDescent="0.35">
      <c r="A76" s="1">
        <v>72</v>
      </c>
      <c r="D76" s="1" t="e">
        <f>VLOOKUP(B76,Registration!$B$3:$C$77,2,FALSE)</f>
        <v>#N/A</v>
      </c>
      <c r="F76" s="27">
        <f t="shared" si="1"/>
        <v>0</v>
      </c>
    </row>
    <row r="77" spans="1:6" x14ac:dyDescent="0.35">
      <c r="A77" s="1">
        <v>73</v>
      </c>
      <c r="D77" s="1" t="e">
        <f>VLOOKUP(B77,Registration!$B$3:$C$77,2,FALSE)</f>
        <v>#N/A</v>
      </c>
      <c r="F77" s="27">
        <f t="shared" si="1"/>
        <v>0</v>
      </c>
    </row>
    <row r="78" spans="1:6" x14ac:dyDescent="0.35">
      <c r="A78" s="1">
        <v>74</v>
      </c>
      <c r="D78" s="1" t="e">
        <f>VLOOKUP(B78,Registration!$B$3:$C$77,2,FALSE)</f>
        <v>#N/A</v>
      </c>
      <c r="F78" s="27">
        <f t="shared" si="1"/>
        <v>0</v>
      </c>
    </row>
  </sheetData>
  <sortState ref="A5:C67">
    <sortCondition ref="A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"/>
  <sheetViews>
    <sheetView workbookViewId="0">
      <selection activeCell="F2" sqref="F2"/>
    </sheetView>
  </sheetViews>
  <sheetFormatPr defaultColWidth="8.81640625" defaultRowHeight="14.5" x14ac:dyDescent="0.35"/>
  <cols>
    <col min="1" max="1" width="6.453125" style="1" customWidth="1"/>
    <col min="2" max="2" width="6.1796875" bestFit="1" customWidth="1"/>
    <col min="3" max="3" width="9.36328125" style="16" customWidth="1"/>
    <col min="4" max="4" width="9" style="1" bestFit="1" customWidth="1"/>
    <col min="5" max="5" width="8.81640625" style="1"/>
  </cols>
  <sheetData>
    <row r="1" spans="1:6" ht="18.5" x14ac:dyDescent="0.45">
      <c r="A1" s="17" t="s">
        <v>9</v>
      </c>
      <c r="B1" s="5">
        <v>2018</v>
      </c>
      <c r="C1" s="14"/>
      <c r="D1" s="10"/>
      <c r="E1" s="31"/>
    </row>
    <row r="2" spans="1:6" ht="18.5" x14ac:dyDescent="0.45">
      <c r="B2" s="5"/>
      <c r="C2" s="14"/>
      <c r="D2" s="10"/>
      <c r="E2" s="31"/>
      <c r="F2" s="34" t="s">
        <v>25</v>
      </c>
    </row>
    <row r="3" spans="1:6" ht="15.5" x14ac:dyDescent="0.35">
      <c r="A3" s="13" t="s">
        <v>16</v>
      </c>
      <c r="B3" s="9" t="s">
        <v>5</v>
      </c>
      <c r="C3" s="15" t="s">
        <v>2</v>
      </c>
      <c r="D3" s="6" t="s">
        <v>0</v>
      </c>
      <c r="E3" s="6" t="s">
        <v>1</v>
      </c>
      <c r="F3" s="21" t="s">
        <v>17</v>
      </c>
    </row>
    <row r="4" spans="1:6" x14ac:dyDescent="0.35">
      <c r="A4" s="1">
        <v>2</v>
      </c>
      <c r="B4">
        <v>1</v>
      </c>
      <c r="C4" s="16">
        <v>3.8668981481481478E-2</v>
      </c>
      <c r="D4" s="1" t="str">
        <f>VLOOKUP(B4,Registration!$B$3:$C$77,2,FALSE)</f>
        <v>Men's</v>
      </c>
      <c r="F4" s="16">
        <f t="shared" ref="F4:F35" si="0">C4/8.6</f>
        <v>4.4963931955211024E-3</v>
      </c>
    </row>
    <row r="5" spans="1:6" x14ac:dyDescent="0.35">
      <c r="A5" s="1">
        <v>7</v>
      </c>
      <c r="B5">
        <v>3</v>
      </c>
      <c r="C5" s="16">
        <v>4.1180555555555554E-2</v>
      </c>
      <c r="D5" s="1" t="str">
        <f>VLOOKUP(B5,Registration!$B$3:$C$77,2,FALSE)</f>
        <v>Men's</v>
      </c>
      <c r="F5" s="16">
        <f t="shared" si="0"/>
        <v>4.7884366925064602E-3</v>
      </c>
    </row>
    <row r="6" spans="1:6" x14ac:dyDescent="0.35">
      <c r="A6" s="1">
        <v>28</v>
      </c>
      <c r="B6">
        <v>4</v>
      </c>
      <c r="C6" s="16">
        <v>5.2986111111111116E-2</v>
      </c>
      <c r="D6" s="1" t="str">
        <f>VLOOKUP(B6,Registration!$B$3:$C$77,2,FALSE)</f>
        <v>Men's</v>
      </c>
      <c r="F6" s="16">
        <f t="shared" si="0"/>
        <v>6.1611757105943157E-3</v>
      </c>
    </row>
    <row r="7" spans="1:6" x14ac:dyDescent="0.35">
      <c r="A7" s="1">
        <v>56</v>
      </c>
      <c r="B7">
        <v>5</v>
      </c>
      <c r="C7" s="16">
        <v>7.3761574074074077E-2</v>
      </c>
      <c r="D7" s="1" t="str">
        <f>VLOOKUP(B7,Registration!$B$3:$C$77,2,FALSE)</f>
        <v>Men's</v>
      </c>
      <c r="F7" s="16">
        <f t="shared" si="0"/>
        <v>8.5769272179155899E-3</v>
      </c>
    </row>
    <row r="8" spans="1:6" x14ac:dyDescent="0.35">
      <c r="A8" s="1">
        <v>5</v>
      </c>
      <c r="B8">
        <v>6</v>
      </c>
      <c r="C8" s="16">
        <v>4.010416666666667E-2</v>
      </c>
      <c r="D8" s="1" t="str">
        <f>VLOOKUP(B8,Registration!$B$3:$C$77,2,FALSE)</f>
        <v>Men's</v>
      </c>
      <c r="F8" s="16">
        <f t="shared" si="0"/>
        <v>4.6632751937984501E-3</v>
      </c>
    </row>
    <row r="9" spans="1:6" x14ac:dyDescent="0.35">
      <c r="A9" s="1">
        <v>39</v>
      </c>
      <c r="B9">
        <v>7</v>
      </c>
      <c r="C9" s="16">
        <v>6.069444444444444E-2</v>
      </c>
      <c r="D9" s="1" t="str">
        <f>VLOOKUP(B9,Registration!$B$3:$C$77,2,FALSE)</f>
        <v>Men's</v>
      </c>
      <c r="F9" s="16">
        <f t="shared" si="0"/>
        <v>7.0574935400516793E-3</v>
      </c>
    </row>
    <row r="10" spans="1:6" x14ac:dyDescent="0.35">
      <c r="A10" s="1">
        <v>1</v>
      </c>
      <c r="B10">
        <v>8</v>
      </c>
      <c r="C10" s="16">
        <v>3.5810185185185188E-2</v>
      </c>
      <c r="D10" s="1" t="str">
        <f>VLOOKUP(B10,Registration!$B$3:$C$77,2,FALSE)</f>
        <v>Men's</v>
      </c>
      <c r="F10" s="16">
        <f t="shared" si="0"/>
        <v>4.1639750215331619E-3</v>
      </c>
    </row>
    <row r="11" spans="1:6" x14ac:dyDescent="0.35">
      <c r="A11" s="1">
        <v>4</v>
      </c>
      <c r="B11">
        <v>9</v>
      </c>
      <c r="C11" s="16">
        <v>3.9814814814814817E-2</v>
      </c>
      <c r="D11" s="1" t="str">
        <f>VLOOKUP(B11,Registration!$B$3:$C$77,2,FALSE)</f>
        <v>Men's</v>
      </c>
      <c r="F11" s="16">
        <f t="shared" si="0"/>
        <v>4.6296296296296302E-3</v>
      </c>
    </row>
    <row r="12" spans="1:6" x14ac:dyDescent="0.35">
      <c r="A12" s="1">
        <v>6</v>
      </c>
      <c r="B12">
        <v>10</v>
      </c>
      <c r="C12" s="16">
        <v>4.0428240740740744E-2</v>
      </c>
      <c r="D12" s="1" t="str">
        <f>VLOOKUP(B12,Registration!$B$3:$C$77,2,FALSE)</f>
        <v>Men40+</v>
      </c>
      <c r="F12" s="16">
        <f t="shared" si="0"/>
        <v>4.7009582256675288E-3</v>
      </c>
    </row>
    <row r="13" spans="1:6" x14ac:dyDescent="0.35">
      <c r="A13" s="1">
        <v>26</v>
      </c>
      <c r="B13">
        <v>11</v>
      </c>
      <c r="C13" s="16">
        <v>5.2812500000000005E-2</v>
      </c>
      <c r="D13" s="1" t="str">
        <f>VLOOKUP(B13,Registration!$B$3:$C$77,2,FALSE)</f>
        <v>Men50+</v>
      </c>
      <c r="F13" s="16">
        <f t="shared" si="0"/>
        <v>6.1409883720930239E-3</v>
      </c>
    </row>
    <row r="14" spans="1:6" x14ac:dyDescent="0.35">
      <c r="A14" s="1">
        <v>29</v>
      </c>
      <c r="B14">
        <v>12</v>
      </c>
      <c r="C14" s="16">
        <v>5.3587962962962969E-2</v>
      </c>
      <c r="D14" s="1" t="str">
        <f>VLOOKUP(B14,Registration!$B$3:$C$77,2,FALSE)</f>
        <v>Men50+</v>
      </c>
      <c r="F14" s="16">
        <f t="shared" si="0"/>
        <v>6.2311584840654619E-3</v>
      </c>
    </row>
    <row r="15" spans="1:6" x14ac:dyDescent="0.35">
      <c r="A15" s="1">
        <v>19</v>
      </c>
      <c r="B15">
        <v>16</v>
      </c>
      <c r="C15" s="16">
        <v>4.9525462962962959E-2</v>
      </c>
      <c r="D15" s="1" t="str">
        <f>VLOOKUP(B15,Registration!$B$3:$C$77,2,FALSE)</f>
        <v>Womens</v>
      </c>
      <c r="F15" s="16">
        <f t="shared" si="0"/>
        <v>5.7587747631352281E-3</v>
      </c>
    </row>
    <row r="16" spans="1:6" x14ac:dyDescent="0.35">
      <c r="A16" s="1">
        <v>58</v>
      </c>
      <c r="B16">
        <v>17</v>
      </c>
      <c r="C16" s="16">
        <v>7.5590277777777784E-2</v>
      </c>
      <c r="D16" s="1" t="str">
        <f>VLOOKUP(B16,Registration!$B$3:$C$77,2,FALSE)</f>
        <v>Womens</v>
      </c>
      <c r="F16" s="16">
        <f t="shared" si="0"/>
        <v>8.7895671834625332E-3</v>
      </c>
    </row>
    <row r="17" spans="1:6" x14ac:dyDescent="0.35">
      <c r="A17" s="1">
        <v>8</v>
      </c>
      <c r="B17">
        <v>18</v>
      </c>
      <c r="C17" s="16">
        <v>4.2048611111111113E-2</v>
      </c>
      <c r="D17" s="1" t="str">
        <f>VLOOKUP(B17,Registration!$B$3:$C$77,2,FALSE)</f>
        <v>Mixed</v>
      </c>
      <c r="F17" s="16">
        <f t="shared" si="0"/>
        <v>4.8893733850129207E-3</v>
      </c>
    </row>
    <row r="18" spans="1:6" x14ac:dyDescent="0.35">
      <c r="A18" s="1">
        <v>35</v>
      </c>
      <c r="B18">
        <v>19</v>
      </c>
      <c r="C18" s="16">
        <v>5.769675925925926E-2</v>
      </c>
      <c r="D18" s="1" t="str">
        <f>VLOOKUP(B18,Registration!$B$3:$C$77,2,FALSE)</f>
        <v>Womens</v>
      </c>
      <c r="F18" s="16">
        <f t="shared" si="0"/>
        <v>6.7089254952627051E-3</v>
      </c>
    </row>
    <row r="19" spans="1:6" x14ac:dyDescent="0.35">
      <c r="A19" s="1">
        <v>22</v>
      </c>
      <c r="B19">
        <v>21</v>
      </c>
      <c r="C19" s="16">
        <v>5.0902777777777776E-2</v>
      </c>
      <c r="D19" s="1" t="str">
        <f>VLOOKUP(B19,Registration!$B$3:$C$77,2,FALSE)</f>
        <v>Womens</v>
      </c>
      <c r="F19" s="16">
        <f t="shared" si="0"/>
        <v>5.9189276485788114E-3</v>
      </c>
    </row>
    <row r="20" spans="1:6" x14ac:dyDescent="0.35">
      <c r="A20" s="1">
        <v>23</v>
      </c>
      <c r="B20">
        <v>22</v>
      </c>
      <c r="C20" s="16">
        <v>5.1562500000000004E-2</v>
      </c>
      <c r="D20" s="1" t="str">
        <f>VLOOKUP(B20,Registration!$B$3:$C$77,2,FALSE)</f>
        <v>Wmn 40+</v>
      </c>
      <c r="F20" s="16">
        <f t="shared" si="0"/>
        <v>5.995639534883722E-3</v>
      </c>
    </row>
    <row r="21" spans="1:6" x14ac:dyDescent="0.35">
      <c r="A21" s="1">
        <v>54</v>
      </c>
      <c r="B21">
        <v>23</v>
      </c>
      <c r="C21" s="16">
        <v>7.1226851851851861E-2</v>
      </c>
      <c r="D21" s="1" t="str">
        <f>VLOOKUP(B21,Registration!$B$3:$C$77,2,FALSE)</f>
        <v>Mixed</v>
      </c>
      <c r="F21" s="16">
        <f t="shared" si="0"/>
        <v>8.282192075796729E-3</v>
      </c>
    </row>
    <row r="22" spans="1:6" x14ac:dyDescent="0.35">
      <c r="A22" s="1">
        <v>11</v>
      </c>
      <c r="B22">
        <v>24</v>
      </c>
      <c r="C22" s="16">
        <v>4.5543981481481477E-2</v>
      </c>
      <c r="D22" s="1" t="str">
        <f>VLOOKUP(B22,Registration!$B$3:$C$77,2,FALSE)</f>
        <v>Mixed</v>
      </c>
      <c r="F22" s="16">
        <f t="shared" si="0"/>
        <v>5.2958118001722653E-3</v>
      </c>
    </row>
    <row r="23" spans="1:6" x14ac:dyDescent="0.35">
      <c r="A23" s="1">
        <v>21</v>
      </c>
      <c r="B23">
        <v>25</v>
      </c>
      <c r="C23" s="16">
        <v>5.0567129629629635E-2</v>
      </c>
      <c r="D23" s="1" t="str">
        <f>VLOOKUP(B23,Registration!$B$3:$C$77,2,FALSE)</f>
        <v>Mixed</v>
      </c>
      <c r="F23" s="16">
        <f t="shared" si="0"/>
        <v>5.8798987941429811E-3</v>
      </c>
    </row>
    <row r="24" spans="1:6" x14ac:dyDescent="0.35">
      <c r="A24" s="1">
        <v>9</v>
      </c>
      <c r="B24">
        <v>26</v>
      </c>
      <c r="C24" s="16">
        <v>4.3298611111111107E-2</v>
      </c>
      <c r="D24" s="1" t="str">
        <f>VLOOKUP(B24,Registration!$B$3:$C$77,2,FALSE)</f>
        <v>Mixed</v>
      </c>
      <c r="F24" s="16">
        <f t="shared" si="0"/>
        <v>5.0347222222222217E-3</v>
      </c>
    </row>
    <row r="25" spans="1:6" x14ac:dyDescent="0.35">
      <c r="A25" s="1">
        <v>43</v>
      </c>
      <c r="B25">
        <v>27</v>
      </c>
      <c r="C25" s="16">
        <v>6.3032407407407412E-2</v>
      </c>
      <c r="D25" s="1" t="str">
        <f>VLOOKUP(B25,Registration!$B$3:$C$77,2,FALSE)</f>
        <v>Mixed</v>
      </c>
      <c r="F25" s="16">
        <f t="shared" si="0"/>
        <v>7.3293496985357455E-3</v>
      </c>
    </row>
    <row r="26" spans="1:6" x14ac:dyDescent="0.35">
      <c r="A26" s="1">
        <v>41</v>
      </c>
      <c r="B26">
        <v>28</v>
      </c>
      <c r="C26" s="16">
        <v>6.1215277777777778E-2</v>
      </c>
      <c r="D26" s="1" t="str">
        <f>VLOOKUP(B26,Registration!$B$3:$C$77,2,FALSE)</f>
        <v>Mixed</v>
      </c>
      <c r="F26" s="16">
        <f t="shared" si="0"/>
        <v>7.1180555555555563E-3</v>
      </c>
    </row>
    <row r="27" spans="1:6" x14ac:dyDescent="0.35">
      <c r="A27" s="1">
        <v>55</v>
      </c>
      <c r="B27">
        <v>29</v>
      </c>
      <c r="C27" s="16">
        <v>7.255787037037037E-2</v>
      </c>
      <c r="D27" s="1" t="str">
        <f>VLOOKUP(B27,Registration!$B$3:$C$77,2,FALSE)</f>
        <v>Mixed</v>
      </c>
      <c r="F27" s="16">
        <f t="shared" si="0"/>
        <v>8.4369616709732993E-3</v>
      </c>
    </row>
    <row r="28" spans="1:6" x14ac:dyDescent="0.35">
      <c r="A28" s="1">
        <v>47</v>
      </c>
      <c r="B28">
        <v>30</v>
      </c>
      <c r="C28" s="16">
        <v>6.5567129629629628E-2</v>
      </c>
      <c r="D28" s="1" t="str">
        <f>VLOOKUP(B28,Registration!$B$3:$C$77,2,FALSE)</f>
        <v>Mixed</v>
      </c>
      <c r="F28" s="16">
        <f t="shared" si="0"/>
        <v>7.6240848406546081E-3</v>
      </c>
    </row>
    <row r="29" spans="1:6" x14ac:dyDescent="0.35">
      <c r="A29" s="1">
        <v>46</v>
      </c>
      <c r="B29">
        <v>31</v>
      </c>
      <c r="C29" s="16">
        <v>6.4687499999999995E-2</v>
      </c>
      <c r="D29" s="1" t="str">
        <f>VLOOKUP(B29,Registration!$B$3:$C$77,2,FALSE)</f>
        <v>Mixed</v>
      </c>
      <c r="F29" s="16">
        <f t="shared" si="0"/>
        <v>7.5218023255813954E-3</v>
      </c>
    </row>
    <row r="30" spans="1:6" x14ac:dyDescent="0.35">
      <c r="A30" s="1">
        <v>53</v>
      </c>
      <c r="B30">
        <v>32</v>
      </c>
      <c r="C30" s="16">
        <v>6.9699074074074066E-2</v>
      </c>
      <c r="D30" s="1" t="str">
        <f>VLOOKUP(B30,Registration!$B$3:$C$77,2,FALSE)</f>
        <v>Mixed</v>
      </c>
      <c r="F30" s="16">
        <f t="shared" si="0"/>
        <v>8.1045434969853562E-3</v>
      </c>
    </row>
    <row r="31" spans="1:6" x14ac:dyDescent="0.35">
      <c r="A31" s="1">
        <v>31</v>
      </c>
      <c r="B31">
        <v>34</v>
      </c>
      <c r="C31" s="16">
        <v>5.5081018518518515E-2</v>
      </c>
      <c r="D31" s="1" t="str">
        <f>VLOOKUP(B31,Registration!$B$3:$C$77,2,FALSE)</f>
        <v>Mixed</v>
      </c>
      <c r="F31" s="16">
        <f t="shared" si="0"/>
        <v>6.4047695951765715E-3</v>
      </c>
    </row>
    <row r="32" spans="1:6" x14ac:dyDescent="0.35">
      <c r="A32" s="1">
        <v>24</v>
      </c>
      <c r="B32">
        <v>35</v>
      </c>
      <c r="C32" s="16">
        <v>5.1805555555555556E-2</v>
      </c>
      <c r="D32" s="1" t="str">
        <f>VLOOKUP(B32,Registration!$B$3:$C$77,2,FALSE)</f>
        <v>Mixed</v>
      </c>
      <c r="F32" s="16">
        <f t="shared" si="0"/>
        <v>6.0239018087855298E-3</v>
      </c>
    </row>
    <row r="33" spans="1:6" x14ac:dyDescent="0.35">
      <c r="A33" s="1">
        <v>27</v>
      </c>
      <c r="B33">
        <v>36</v>
      </c>
      <c r="C33" s="16">
        <v>5.2905092592592594E-2</v>
      </c>
      <c r="D33" s="1" t="str">
        <f>VLOOKUP(B33,Registration!$B$3:$C$77,2,FALSE)</f>
        <v>Mixed</v>
      </c>
      <c r="F33" s="16">
        <f t="shared" si="0"/>
        <v>6.1517549526270464E-3</v>
      </c>
    </row>
    <row r="34" spans="1:6" x14ac:dyDescent="0.35">
      <c r="A34" s="1">
        <v>33</v>
      </c>
      <c r="B34">
        <v>37</v>
      </c>
      <c r="C34" s="16">
        <v>5.7465277777777775E-2</v>
      </c>
      <c r="D34" s="1" t="str">
        <f>VLOOKUP(B34,Registration!$B$3:$C$77,2,FALSE)</f>
        <v>Mixed</v>
      </c>
      <c r="F34" s="16">
        <f t="shared" si="0"/>
        <v>6.6820090439276489E-3</v>
      </c>
    </row>
    <row r="35" spans="1:6" x14ac:dyDescent="0.35">
      <c r="A35" s="1">
        <v>34</v>
      </c>
      <c r="B35">
        <v>38</v>
      </c>
      <c r="C35" s="16">
        <v>5.7476851851851855E-2</v>
      </c>
      <c r="D35" s="1" t="str">
        <f>VLOOKUP(B35,Registration!$B$3:$C$77,2,FALSE)</f>
        <v>Mixed</v>
      </c>
      <c r="F35" s="16">
        <f t="shared" si="0"/>
        <v>6.6833548664944021E-3</v>
      </c>
    </row>
    <row r="36" spans="1:6" x14ac:dyDescent="0.35">
      <c r="A36" s="1">
        <v>37</v>
      </c>
      <c r="B36">
        <v>39</v>
      </c>
      <c r="C36" s="16">
        <v>5.9606481481481483E-2</v>
      </c>
      <c r="D36" s="1" t="str">
        <f>VLOOKUP(B36,Registration!$B$3:$C$77,2,FALSE)</f>
        <v>Mixed</v>
      </c>
      <c r="F36" s="16">
        <f t="shared" ref="F36:F64" si="1">C36/8.6</f>
        <v>6.9309862187769168E-3</v>
      </c>
    </row>
    <row r="37" spans="1:6" x14ac:dyDescent="0.35">
      <c r="A37" s="1">
        <v>49</v>
      </c>
      <c r="B37">
        <v>40</v>
      </c>
      <c r="C37" s="16">
        <v>6.626157407407407E-2</v>
      </c>
      <c r="D37" s="1" t="str">
        <f>VLOOKUP(B37,Registration!$B$3:$C$77,2,FALSE)</f>
        <v>Mixed</v>
      </c>
      <c r="F37" s="16">
        <f t="shared" si="1"/>
        <v>7.704834194659776E-3</v>
      </c>
    </row>
    <row r="38" spans="1:6" x14ac:dyDescent="0.35">
      <c r="A38" s="1">
        <v>60</v>
      </c>
      <c r="B38">
        <v>41</v>
      </c>
      <c r="C38" s="16">
        <v>7.8020833333333331E-2</v>
      </c>
      <c r="D38" s="1" t="str">
        <f>VLOOKUP(B38,Registration!$B$3:$C$77,2,FALSE)</f>
        <v>Mixed</v>
      </c>
      <c r="F38" s="16">
        <f t="shared" si="1"/>
        <v>9.072189922480621E-3</v>
      </c>
    </row>
    <row r="39" spans="1:6" x14ac:dyDescent="0.35">
      <c r="A39" s="1">
        <v>15</v>
      </c>
      <c r="B39">
        <v>43</v>
      </c>
      <c r="C39" s="16">
        <v>4.6921296296296294E-2</v>
      </c>
      <c r="D39" s="1" t="str">
        <f>VLOOKUP(B39,Registration!$B$3:$C$77,2,FALSE)</f>
        <v>Mixed</v>
      </c>
      <c r="F39" s="16">
        <f t="shared" si="1"/>
        <v>5.4559646856158486E-3</v>
      </c>
    </row>
    <row r="40" spans="1:6" x14ac:dyDescent="0.35">
      <c r="A40" s="1">
        <v>51</v>
      </c>
      <c r="B40">
        <v>45</v>
      </c>
      <c r="C40" s="16">
        <v>6.7407407407407416E-2</v>
      </c>
      <c r="D40" s="1" t="str">
        <f>VLOOKUP(B40,Registration!$B$3:$C$77,2,FALSE)</f>
        <v>Mixed</v>
      </c>
      <c r="F40" s="16">
        <f t="shared" si="1"/>
        <v>7.8380706287683038E-3</v>
      </c>
    </row>
    <row r="41" spans="1:6" x14ac:dyDescent="0.35">
      <c r="A41" s="1">
        <v>57</v>
      </c>
      <c r="B41">
        <v>46</v>
      </c>
      <c r="C41" s="16">
        <v>7.3981481481481481E-2</v>
      </c>
      <c r="D41" s="1" t="str">
        <f>VLOOKUP(B41,Registration!$B$3:$C$77,2,FALSE)</f>
        <v>Mixed</v>
      </c>
      <c r="F41" s="16">
        <f t="shared" si="1"/>
        <v>8.6024978466838938E-3</v>
      </c>
    </row>
    <row r="42" spans="1:6" x14ac:dyDescent="0.35">
      <c r="A42" s="1">
        <v>40</v>
      </c>
      <c r="B42">
        <v>48</v>
      </c>
      <c r="C42" s="16">
        <v>6.0972222222222226E-2</v>
      </c>
      <c r="D42" s="1" t="str">
        <f>VLOOKUP(B42,Registration!$B$3:$C$77,2,FALSE)</f>
        <v>Mixed</v>
      </c>
      <c r="F42" s="16">
        <f t="shared" si="1"/>
        <v>7.0897932816537477E-3</v>
      </c>
    </row>
    <row r="43" spans="1:6" x14ac:dyDescent="0.35">
      <c r="A43" s="1">
        <v>42</v>
      </c>
      <c r="B43">
        <v>49</v>
      </c>
      <c r="C43" s="16">
        <v>6.232638888888889E-2</v>
      </c>
      <c r="D43" s="1" t="str">
        <f>VLOOKUP(B43,Registration!$B$3:$C$77,2,FALSE)</f>
        <v>Mixed</v>
      </c>
      <c r="F43" s="16">
        <f t="shared" si="1"/>
        <v>7.2472545219638244E-3</v>
      </c>
    </row>
    <row r="44" spans="1:6" x14ac:dyDescent="0.35">
      <c r="A44" s="1">
        <v>12</v>
      </c>
      <c r="B44">
        <v>50</v>
      </c>
      <c r="C44" s="16">
        <v>4.5648148148148153E-2</v>
      </c>
      <c r="D44" s="1" t="str">
        <f>VLOOKUP(B44,Registration!$B$3:$C$77,2,FALSE)</f>
        <v>Mixed</v>
      </c>
      <c r="F44" s="16">
        <f t="shared" si="1"/>
        <v>5.3079242032730411E-3</v>
      </c>
    </row>
    <row r="45" spans="1:6" x14ac:dyDescent="0.35">
      <c r="A45" s="1">
        <v>20</v>
      </c>
      <c r="B45">
        <v>52</v>
      </c>
      <c r="C45" s="16">
        <v>4.9525462962962959E-2</v>
      </c>
      <c r="D45" s="1" t="str">
        <f>VLOOKUP(B45,Registration!$B$3:$C$77,2,FALSE)</f>
        <v>Men's</v>
      </c>
      <c r="F45" s="16">
        <f t="shared" si="1"/>
        <v>5.7587747631352281E-3</v>
      </c>
    </row>
    <row r="46" spans="1:6" x14ac:dyDescent="0.35">
      <c r="A46" s="1">
        <v>61</v>
      </c>
      <c r="B46">
        <v>53</v>
      </c>
      <c r="C46" s="16">
        <v>8.0567129629629627E-2</v>
      </c>
      <c r="D46" s="1" t="str">
        <f>VLOOKUP(B46,Registration!$B$3:$C$77,2,FALSE)</f>
        <v>Mixed40+</v>
      </c>
      <c r="F46" s="16">
        <f t="shared" si="1"/>
        <v>9.368270887166236E-3</v>
      </c>
    </row>
    <row r="47" spans="1:6" x14ac:dyDescent="0.35">
      <c r="A47" s="1">
        <v>18</v>
      </c>
      <c r="B47">
        <v>55</v>
      </c>
      <c r="C47" s="16">
        <v>4.8946759259259259E-2</v>
      </c>
      <c r="D47" s="1" t="str">
        <f>VLOOKUP(B47,Registration!$B$3:$C$77,2,FALSE)</f>
        <v>Mixed40+</v>
      </c>
      <c r="F47" s="16">
        <f t="shared" si="1"/>
        <v>5.6914836347975884E-3</v>
      </c>
    </row>
    <row r="48" spans="1:6" x14ac:dyDescent="0.35">
      <c r="A48" s="1">
        <v>25</v>
      </c>
      <c r="B48">
        <v>56</v>
      </c>
      <c r="C48" s="16">
        <v>5.2314814814814814E-2</v>
      </c>
      <c r="D48" s="1" t="str">
        <f>VLOOKUP(B48,Registration!$B$3:$C$77,2,FALSE)</f>
        <v>Mixed40+</v>
      </c>
      <c r="F48" s="16">
        <f t="shared" si="1"/>
        <v>6.0831180017226526E-3</v>
      </c>
    </row>
    <row r="49" spans="1:6" x14ac:dyDescent="0.35">
      <c r="A49" s="1">
        <v>48</v>
      </c>
      <c r="B49">
        <v>57</v>
      </c>
      <c r="C49" s="16">
        <v>6.5671296296296297E-2</v>
      </c>
      <c r="D49" s="1" t="str">
        <f>VLOOKUP(B49,Registration!$B$3:$C$77,2,FALSE)</f>
        <v>Mixed40+</v>
      </c>
      <c r="F49" s="16">
        <f t="shared" si="1"/>
        <v>7.6361972437553839E-3</v>
      </c>
    </row>
    <row r="50" spans="1:6" x14ac:dyDescent="0.35">
      <c r="A50" s="1">
        <v>38</v>
      </c>
      <c r="B50">
        <v>58</v>
      </c>
      <c r="C50" s="16">
        <v>5.9641203703703703E-2</v>
      </c>
      <c r="D50" s="1" t="str">
        <f>VLOOKUP(B50,Registration!$B$3:$C$77,2,FALSE)</f>
        <v>Mixed40+</v>
      </c>
      <c r="F50" s="16">
        <f t="shared" si="1"/>
        <v>6.9350236864771748E-3</v>
      </c>
    </row>
    <row r="51" spans="1:6" x14ac:dyDescent="0.35">
      <c r="A51" s="1">
        <v>32</v>
      </c>
      <c r="B51">
        <v>59</v>
      </c>
      <c r="C51" s="16">
        <v>5.5555555555555552E-2</v>
      </c>
      <c r="D51" s="1" t="str">
        <f>VLOOKUP(B51,Registration!$B$3:$C$77,2,FALSE)</f>
        <v>Corp</v>
      </c>
      <c r="F51" s="16">
        <f t="shared" si="1"/>
        <v>6.4599483204134363E-3</v>
      </c>
    </row>
    <row r="52" spans="1:6" x14ac:dyDescent="0.35">
      <c r="A52" s="1">
        <v>10</v>
      </c>
      <c r="B52">
        <v>60</v>
      </c>
      <c r="C52" s="16">
        <v>4.4618055555555557E-2</v>
      </c>
      <c r="D52" s="1" t="str">
        <f>VLOOKUP(B52,Registration!$B$3:$C$77,2,FALSE)</f>
        <v>Corp</v>
      </c>
      <c r="F52" s="16">
        <f t="shared" si="1"/>
        <v>5.1881459948320413E-3</v>
      </c>
    </row>
    <row r="53" spans="1:6" x14ac:dyDescent="0.35">
      <c r="A53" s="1">
        <v>50</v>
      </c>
      <c r="B53">
        <v>62</v>
      </c>
      <c r="C53" s="16">
        <v>6.6365740740740739E-2</v>
      </c>
      <c r="D53" s="1" t="str">
        <f>VLOOKUP(B53,Registration!$B$3:$C$77,2,FALSE)</f>
        <v>Corp</v>
      </c>
      <c r="F53" s="16">
        <f t="shared" si="1"/>
        <v>7.7169465977605517E-3</v>
      </c>
    </row>
    <row r="54" spans="1:6" x14ac:dyDescent="0.35">
      <c r="A54" s="1">
        <v>30</v>
      </c>
      <c r="B54">
        <v>63</v>
      </c>
      <c r="C54" s="16">
        <v>5.4652777777777772E-2</v>
      </c>
      <c r="D54" s="1" t="str">
        <f>VLOOKUP(B54,Registration!$B$3:$C$77,2,FALSE)</f>
        <v>Corp</v>
      </c>
      <c r="F54" s="16">
        <f t="shared" si="1"/>
        <v>6.3549741602067179E-3</v>
      </c>
    </row>
    <row r="55" spans="1:6" x14ac:dyDescent="0.35">
      <c r="A55" s="1">
        <v>36</v>
      </c>
      <c r="B55">
        <v>64</v>
      </c>
      <c r="C55" s="16">
        <v>5.8240740740740739E-2</v>
      </c>
      <c r="D55" s="1" t="str">
        <f>VLOOKUP(B55,Registration!$B$3:$C$77,2,FALSE)</f>
        <v>Corp</v>
      </c>
      <c r="F55" s="16">
        <f t="shared" si="1"/>
        <v>6.7721791559000859E-3</v>
      </c>
    </row>
    <row r="56" spans="1:6" x14ac:dyDescent="0.35">
      <c r="A56" s="1">
        <v>44</v>
      </c>
      <c r="B56">
        <v>65</v>
      </c>
      <c r="C56" s="16">
        <v>6.3310185185185178E-2</v>
      </c>
      <c r="D56" s="1" t="str">
        <f>VLOOKUP(B56,Registration!$B$3:$C$77,2,FALSE)</f>
        <v>Corp</v>
      </c>
      <c r="F56" s="16">
        <f t="shared" si="1"/>
        <v>7.3616494401378112E-3</v>
      </c>
    </row>
    <row r="57" spans="1:6" x14ac:dyDescent="0.35">
      <c r="A57" s="1">
        <v>52</v>
      </c>
      <c r="B57">
        <v>66</v>
      </c>
      <c r="C57" s="16">
        <v>6.9085648148148146E-2</v>
      </c>
      <c r="D57" s="1" t="str">
        <f>VLOOKUP(B57,Registration!$B$3:$C$77,2,FALSE)</f>
        <v>Corp</v>
      </c>
      <c r="F57" s="16">
        <f t="shared" si="1"/>
        <v>8.0332149009474593E-3</v>
      </c>
    </row>
    <row r="58" spans="1:6" x14ac:dyDescent="0.35">
      <c r="A58" s="1">
        <v>59</v>
      </c>
      <c r="B58">
        <v>67</v>
      </c>
      <c r="C58" s="16">
        <v>7.604166666666666E-2</v>
      </c>
      <c r="D58" s="1" t="str">
        <f>VLOOKUP(B58,Registration!$B$3:$C$77,2,FALSE)</f>
        <v>Corp</v>
      </c>
      <c r="F58" s="16">
        <f t="shared" si="1"/>
        <v>8.8420542635658916E-3</v>
      </c>
    </row>
    <row r="59" spans="1:6" x14ac:dyDescent="0.35">
      <c r="A59" s="1">
        <v>45</v>
      </c>
      <c r="B59">
        <v>68</v>
      </c>
      <c r="C59" s="16">
        <v>6.4386574074074068E-2</v>
      </c>
      <c r="D59" s="1" t="str">
        <f>VLOOKUP(B59,Registration!$B$3:$C$77,2,FALSE)</f>
        <v>HS-Girls</v>
      </c>
      <c r="F59" s="16">
        <f t="shared" si="1"/>
        <v>7.4868109388458223E-3</v>
      </c>
    </row>
    <row r="60" spans="1:6" x14ac:dyDescent="0.35">
      <c r="A60" s="1">
        <v>16</v>
      </c>
      <c r="B60">
        <v>69</v>
      </c>
      <c r="C60" s="16">
        <v>4.7569444444444442E-2</v>
      </c>
      <c r="D60" s="1" t="str">
        <f>VLOOKUP(B60,Registration!$B$3:$C$77,2,FALSE)</f>
        <v>HS -Boys</v>
      </c>
      <c r="F60" s="16">
        <f t="shared" si="1"/>
        <v>5.5313307493540052E-3</v>
      </c>
    </row>
    <row r="61" spans="1:6" x14ac:dyDescent="0.35">
      <c r="A61" s="1">
        <v>13</v>
      </c>
      <c r="B61">
        <v>70</v>
      </c>
      <c r="C61" s="16">
        <v>4.6550925925925919E-2</v>
      </c>
      <c r="D61" s="1" t="str">
        <f>VLOOKUP(B61,Registration!$B$3:$C$77,2,FALSE)</f>
        <v>HS-Boys</v>
      </c>
      <c r="F61" s="16">
        <f t="shared" si="1"/>
        <v>5.4128983634797586E-3</v>
      </c>
    </row>
    <row r="62" spans="1:6" x14ac:dyDescent="0.35">
      <c r="A62" s="1">
        <v>17</v>
      </c>
      <c r="B62">
        <v>71</v>
      </c>
      <c r="C62" s="16">
        <v>4.868055555555556E-2</v>
      </c>
      <c r="D62" s="1" t="str">
        <f>VLOOKUP(B62,Registration!$B$3:$C$77,2,FALSE)</f>
        <v>HS-Boys</v>
      </c>
      <c r="F62" s="16">
        <f t="shared" si="1"/>
        <v>5.6605297157622751E-3</v>
      </c>
    </row>
    <row r="63" spans="1:6" x14ac:dyDescent="0.35">
      <c r="A63" s="1">
        <v>14</v>
      </c>
      <c r="B63">
        <v>72</v>
      </c>
      <c r="C63" s="16">
        <v>4.6678240740740735E-2</v>
      </c>
      <c r="D63" s="1" t="str">
        <f>VLOOKUP(B63,Registration!$B$3:$C$77,2,FALSE)</f>
        <v>HS-Boys</v>
      </c>
      <c r="F63" s="16">
        <f t="shared" si="1"/>
        <v>5.4277024117140391E-3</v>
      </c>
    </row>
    <row r="64" spans="1:6" x14ac:dyDescent="0.35">
      <c r="A64" s="1">
        <v>3</v>
      </c>
      <c r="B64">
        <v>73</v>
      </c>
      <c r="C64" s="16">
        <v>3.9259259259259258E-2</v>
      </c>
      <c r="D64" s="1" t="str">
        <f>VLOOKUP(B64,Registration!$B$3:$C$77,2,FALSE)</f>
        <v>HS-Boys</v>
      </c>
      <c r="F64" s="16">
        <f t="shared" si="1"/>
        <v>4.5650301464254953E-3</v>
      </c>
    </row>
    <row r="65" spans="1:9" x14ac:dyDescent="0.35">
      <c r="A65" s="1">
        <v>62</v>
      </c>
      <c r="D65" s="1" t="e">
        <f>VLOOKUP(B65,Registration!$B$3:$C$77,2,FALSE)</f>
        <v>#N/A</v>
      </c>
      <c r="F65" s="16">
        <f t="shared" ref="F65:F77" si="2">C65/8.6</f>
        <v>0</v>
      </c>
    </row>
    <row r="66" spans="1:9" x14ac:dyDescent="0.35">
      <c r="A66" s="1">
        <v>63</v>
      </c>
      <c r="D66" s="1" t="e">
        <f>VLOOKUP(B66,Registration!$B$3:$C$77,2,FALSE)</f>
        <v>#N/A</v>
      </c>
      <c r="F66" s="16">
        <f t="shared" si="2"/>
        <v>0</v>
      </c>
    </row>
    <row r="67" spans="1:9" x14ac:dyDescent="0.35">
      <c r="A67" s="1">
        <v>64</v>
      </c>
      <c r="D67" s="1" t="e">
        <f>VLOOKUP(B67,Registration!$B$3:$C$77,2,FALSE)</f>
        <v>#N/A</v>
      </c>
      <c r="F67" s="16">
        <f t="shared" si="2"/>
        <v>0</v>
      </c>
    </row>
    <row r="68" spans="1:9" x14ac:dyDescent="0.35">
      <c r="A68" s="1">
        <v>65</v>
      </c>
      <c r="D68" s="1" t="e">
        <f>VLOOKUP(B68,Registration!$B$3:$C$77,2,FALSE)</f>
        <v>#N/A</v>
      </c>
      <c r="F68" s="16">
        <f t="shared" si="2"/>
        <v>0</v>
      </c>
    </row>
    <row r="69" spans="1:9" x14ac:dyDescent="0.35">
      <c r="A69" s="1">
        <v>66</v>
      </c>
      <c r="D69" s="1" t="e">
        <f>VLOOKUP(B69,Registration!$B$3:$C$77,2,FALSE)</f>
        <v>#N/A</v>
      </c>
      <c r="F69" s="16">
        <f t="shared" si="2"/>
        <v>0</v>
      </c>
    </row>
    <row r="70" spans="1:9" x14ac:dyDescent="0.35">
      <c r="A70" s="1">
        <v>67</v>
      </c>
      <c r="D70" s="1" t="e">
        <f>VLOOKUP(B70,Registration!$B$3:$C$77,2,FALSE)</f>
        <v>#N/A</v>
      </c>
      <c r="F70" s="16">
        <f t="shared" si="2"/>
        <v>0</v>
      </c>
    </row>
    <row r="71" spans="1:9" x14ac:dyDescent="0.35">
      <c r="A71" s="1">
        <v>68</v>
      </c>
      <c r="D71" s="1" t="e">
        <f>VLOOKUP(B71,Registration!$B$3:$C$77,2,FALSE)</f>
        <v>#N/A</v>
      </c>
      <c r="F71" s="16">
        <f t="shared" si="2"/>
        <v>0</v>
      </c>
    </row>
    <row r="72" spans="1:9" x14ac:dyDescent="0.35">
      <c r="A72" s="1">
        <v>69</v>
      </c>
      <c r="D72" s="1" t="e">
        <f>VLOOKUP(B72,Registration!$B$3:$C$77,2,FALSE)</f>
        <v>#N/A</v>
      </c>
      <c r="F72" s="16">
        <f t="shared" si="2"/>
        <v>0</v>
      </c>
    </row>
    <row r="73" spans="1:9" x14ac:dyDescent="0.35">
      <c r="A73" s="1">
        <v>70</v>
      </c>
      <c r="D73" s="1" t="e">
        <f>VLOOKUP(B73,Registration!$B$3:$C$77,2,FALSE)</f>
        <v>#N/A</v>
      </c>
      <c r="F73" s="16">
        <f t="shared" si="2"/>
        <v>0</v>
      </c>
    </row>
    <row r="74" spans="1:9" x14ac:dyDescent="0.35">
      <c r="A74" s="1">
        <v>71</v>
      </c>
      <c r="D74" s="1" t="e">
        <f>VLOOKUP(B74,Registration!$B$3:$C$77,2,FALSE)</f>
        <v>#N/A</v>
      </c>
      <c r="F74" s="16">
        <f t="shared" si="2"/>
        <v>0</v>
      </c>
    </row>
    <row r="75" spans="1:9" x14ac:dyDescent="0.35">
      <c r="A75" s="1">
        <v>72</v>
      </c>
      <c r="D75" s="1" t="e">
        <f>VLOOKUP(B75,Registration!$B$3:$C$77,2,FALSE)</f>
        <v>#N/A</v>
      </c>
      <c r="F75" s="16">
        <f t="shared" si="2"/>
        <v>0</v>
      </c>
    </row>
    <row r="76" spans="1:9" x14ac:dyDescent="0.35">
      <c r="A76" s="1">
        <v>73</v>
      </c>
      <c r="D76" s="1" t="e">
        <f>VLOOKUP(B76,Registration!$B$3:$C$77,2,FALSE)</f>
        <v>#N/A</v>
      </c>
      <c r="F76" s="16">
        <f t="shared" si="2"/>
        <v>0</v>
      </c>
    </row>
    <row r="77" spans="1:9" x14ac:dyDescent="0.35">
      <c r="A77" s="1">
        <v>74</v>
      </c>
      <c r="D77" s="1" t="e">
        <f>VLOOKUP(B77,Registration!$B$3:$C$77,2,FALSE)</f>
        <v>#N/A</v>
      </c>
      <c r="F77" s="16">
        <f t="shared" si="2"/>
        <v>0</v>
      </c>
    </row>
    <row r="80" spans="1:9" x14ac:dyDescent="0.35">
      <c r="I80" t="s">
        <v>45</v>
      </c>
    </row>
    <row r="81" spans="9:9" x14ac:dyDescent="0.35">
      <c r="I81">
        <v>13</v>
      </c>
    </row>
    <row r="82" spans="9:9" x14ac:dyDescent="0.35">
      <c r="I82">
        <v>14</v>
      </c>
    </row>
    <row r="83" spans="9:9" x14ac:dyDescent="0.35">
      <c r="I83">
        <v>51</v>
      </c>
    </row>
    <row r="85" spans="9:9" x14ac:dyDescent="0.35">
      <c r="I85" t="s">
        <v>46</v>
      </c>
    </row>
    <row r="86" spans="9:9" x14ac:dyDescent="0.35">
      <c r="I86">
        <v>17</v>
      </c>
    </row>
    <row r="88" spans="9:9" x14ac:dyDescent="0.35">
      <c r="I88" t="s">
        <v>47</v>
      </c>
    </row>
    <row r="89" spans="9:9" x14ac:dyDescent="0.35">
      <c r="I89">
        <v>5</v>
      </c>
    </row>
    <row r="90" spans="9:9" x14ac:dyDescent="0.35">
      <c r="I90">
        <v>23</v>
      </c>
    </row>
    <row r="91" spans="9:9" x14ac:dyDescent="0.35">
      <c r="I91">
        <v>40</v>
      </c>
    </row>
    <row r="92" spans="9:9" x14ac:dyDescent="0.35">
      <c r="I92">
        <v>41</v>
      </c>
    </row>
    <row r="93" spans="9:9" x14ac:dyDescent="0.35">
      <c r="I93">
        <v>42</v>
      </c>
    </row>
    <row r="94" spans="9:9" x14ac:dyDescent="0.35">
      <c r="I94">
        <v>47</v>
      </c>
    </row>
    <row r="95" spans="9:9" x14ac:dyDescent="0.35">
      <c r="I95">
        <v>53</v>
      </c>
    </row>
    <row r="96" spans="9:9" x14ac:dyDescent="0.35">
      <c r="I96">
        <v>58</v>
      </c>
    </row>
    <row r="97" spans="9:9" x14ac:dyDescent="0.35">
      <c r="I97">
        <v>61</v>
      </c>
    </row>
    <row r="98" spans="9:9" x14ac:dyDescent="0.35">
      <c r="I98">
        <v>67</v>
      </c>
    </row>
    <row r="99" spans="9:9" x14ac:dyDescent="0.35">
      <c r="I99">
        <v>68</v>
      </c>
    </row>
  </sheetData>
  <sortState ref="A4:F64">
    <sortCondition ref="B4:B64"/>
  </sortState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7"/>
  <sheetViews>
    <sheetView workbookViewId="0">
      <selection activeCell="F2" sqref="F2"/>
    </sheetView>
  </sheetViews>
  <sheetFormatPr defaultColWidth="8.81640625" defaultRowHeight="14.5" x14ac:dyDescent="0.35"/>
  <cols>
    <col min="1" max="1" width="5.453125" customWidth="1"/>
    <col min="2" max="2" width="5.36328125" customWidth="1"/>
    <col min="3" max="3" width="10.6328125" style="16" customWidth="1"/>
    <col min="4" max="4" width="9.81640625" style="16" customWidth="1"/>
    <col min="5" max="5" width="8.453125" style="1" customWidth="1"/>
    <col min="6" max="6" width="10.453125" style="1" customWidth="1"/>
  </cols>
  <sheetData>
    <row r="1" spans="1:6" ht="18.5" x14ac:dyDescent="0.45">
      <c r="A1" s="4" t="s">
        <v>10</v>
      </c>
      <c r="B1" s="5" t="s">
        <v>27</v>
      </c>
      <c r="C1" s="14"/>
      <c r="D1" s="14"/>
      <c r="E1" s="10"/>
    </row>
    <row r="2" spans="1:6" ht="18.5" x14ac:dyDescent="0.45">
      <c r="B2" s="5"/>
      <c r="C2" s="14"/>
      <c r="D2" s="14"/>
      <c r="E2" s="10"/>
      <c r="F2" s="35" t="s">
        <v>24</v>
      </c>
    </row>
    <row r="3" spans="1:6" ht="15.5" x14ac:dyDescent="0.35">
      <c r="A3" s="12" t="s">
        <v>16</v>
      </c>
      <c r="B3" s="9" t="s">
        <v>5</v>
      </c>
      <c r="C3" s="20" t="s">
        <v>15</v>
      </c>
      <c r="D3" s="20" t="s">
        <v>2</v>
      </c>
      <c r="E3" s="6" t="s">
        <v>0</v>
      </c>
      <c r="F3" s="21" t="s">
        <v>17</v>
      </c>
    </row>
    <row r="4" spans="1:6" x14ac:dyDescent="0.35">
      <c r="A4" s="1">
        <v>1</v>
      </c>
      <c r="B4">
        <v>1</v>
      </c>
      <c r="C4" s="16">
        <v>9.2060185185185175E-2</v>
      </c>
      <c r="D4" s="16">
        <f>'leg 2'!C4-'Leg 1'!C4</f>
        <v>5.3391203703703698E-2</v>
      </c>
      <c r="E4" s="1" t="str">
        <f>VLOOKUP(B4,Registration!$B$3:$C$77,2,FALSE)</f>
        <v>Men's</v>
      </c>
      <c r="F4" s="27">
        <f t="shared" ref="F4:F35" si="0">D4/13.1</f>
        <v>4.0756644048628781E-3</v>
      </c>
    </row>
    <row r="5" spans="1:6" x14ac:dyDescent="0.35">
      <c r="A5" s="1">
        <v>2</v>
      </c>
      <c r="B5">
        <v>3</v>
      </c>
      <c r="C5" s="16">
        <v>9.5636574074074068E-2</v>
      </c>
      <c r="D5" s="16">
        <f>'leg 2'!C7-'Leg 1'!C7</f>
        <v>8.2673611111111101E-2</v>
      </c>
      <c r="E5" s="1" t="str">
        <f>VLOOKUP(B5,Registration!$B$3:$C$77,2,FALSE)</f>
        <v>Men's</v>
      </c>
      <c r="F5" s="27">
        <f t="shared" si="0"/>
        <v>6.3109626802374886E-3</v>
      </c>
    </row>
    <row r="6" spans="1:6" x14ac:dyDescent="0.35">
      <c r="A6" s="1">
        <v>3</v>
      </c>
      <c r="B6">
        <v>4</v>
      </c>
      <c r="C6" s="16">
        <v>0.13472222222222222</v>
      </c>
      <c r="D6" s="16">
        <f>'leg 2'!C42-'Leg 1'!C42</f>
        <v>5.8090277777777775E-2</v>
      </c>
      <c r="E6" s="1" t="str">
        <f>VLOOKUP(B6,Registration!$B$3:$C$77,2,FALSE)</f>
        <v>Men's</v>
      </c>
      <c r="F6" s="27">
        <f t="shared" si="0"/>
        <v>4.4343723494486851E-3</v>
      </c>
    </row>
    <row r="7" spans="1:6" x14ac:dyDescent="0.35">
      <c r="A7" s="1">
        <v>4</v>
      </c>
      <c r="B7">
        <v>5</v>
      </c>
      <c r="C7" s="16">
        <v>0.15643518518518518</v>
      </c>
      <c r="D7" s="16">
        <f>'leg 2'!C63-'Leg 1'!C63</f>
        <v>9.3969907407407433E-2</v>
      </c>
      <c r="E7" s="1" t="str">
        <f>VLOOKUP(B7,Registration!$B$3:$C$77,2,FALSE)</f>
        <v>Men's</v>
      </c>
      <c r="F7" s="27">
        <f t="shared" si="0"/>
        <v>7.173275374611255E-3</v>
      </c>
    </row>
    <row r="8" spans="1:6" x14ac:dyDescent="0.35">
      <c r="A8" s="1">
        <v>5</v>
      </c>
      <c r="B8">
        <v>6</v>
      </c>
      <c r="C8" s="16">
        <v>0.10967592592592591</v>
      </c>
      <c r="D8" s="16">
        <f>'leg 2'!C12-'Leg 1'!C12</f>
        <v>6.3171296296296309E-2</v>
      </c>
      <c r="E8" s="1" t="str">
        <f>VLOOKUP(B8,Registration!$B$3:$C$77,2,FALSE)</f>
        <v>Men's</v>
      </c>
      <c r="F8" s="27">
        <f t="shared" si="0"/>
        <v>4.8222363584959019E-3</v>
      </c>
    </row>
    <row r="9" spans="1:6" x14ac:dyDescent="0.35">
      <c r="A9" s="1">
        <v>6</v>
      </c>
      <c r="B9">
        <v>7</v>
      </c>
      <c r="C9" s="16">
        <v>0.15577546296296296</v>
      </c>
      <c r="D9" s="16">
        <f>'leg 2'!C61-'Leg 1'!C61</f>
        <v>8.5150462962962969E-2</v>
      </c>
      <c r="E9" s="1" t="str">
        <f>VLOOKUP(B9,Registration!$B$3:$C$77,2,FALSE)</f>
        <v>Men's</v>
      </c>
      <c r="F9" s="27">
        <f t="shared" si="0"/>
        <v>6.5000353406841965E-3</v>
      </c>
    </row>
    <row r="10" spans="1:6" x14ac:dyDescent="0.35">
      <c r="A10" s="1">
        <v>7</v>
      </c>
      <c r="B10">
        <v>8</v>
      </c>
      <c r="C10" s="16">
        <v>9.2939814814814822E-2</v>
      </c>
      <c r="D10" s="16">
        <f>'leg 2'!C5-'Leg 1'!C5</f>
        <v>5.4456018518518515E-2</v>
      </c>
      <c r="E10" s="1" t="str">
        <f>VLOOKUP(B10,Registration!$B$3:$C$77,2,FALSE)</f>
        <v>Men's</v>
      </c>
      <c r="F10" s="27">
        <f t="shared" si="0"/>
        <v>4.1569479785128639E-3</v>
      </c>
    </row>
    <row r="11" spans="1:6" x14ac:dyDescent="0.35">
      <c r="A11" s="1">
        <v>8</v>
      </c>
      <c r="B11">
        <v>9</v>
      </c>
      <c r="C11" s="16">
        <v>9.5613425925925921E-2</v>
      </c>
      <c r="D11" s="16">
        <f>'leg 2'!C6-'Leg 1'!C6</f>
        <v>8.1736111111111093E-2</v>
      </c>
      <c r="E11" s="1" t="str">
        <f>VLOOKUP(B11,Registration!$B$3:$C$77,2,FALSE)</f>
        <v>Men's</v>
      </c>
      <c r="F11" s="27">
        <f t="shared" si="0"/>
        <v>6.2393977947413047E-3</v>
      </c>
    </row>
    <row r="12" spans="1:6" x14ac:dyDescent="0.35">
      <c r="A12" s="1">
        <v>9</v>
      </c>
      <c r="B12">
        <v>10</v>
      </c>
      <c r="C12" s="16">
        <v>0.10359953703703705</v>
      </c>
      <c r="D12" s="16">
        <f>'leg 2'!C10-'Leg 1'!C10</f>
        <v>5.7129629629629634E-2</v>
      </c>
      <c r="E12" s="1" t="str">
        <f>VLOOKUP(B12,Registration!$B$3:$C$77,2,FALSE)</f>
        <v>Men40+</v>
      </c>
      <c r="F12" s="27">
        <f t="shared" si="0"/>
        <v>4.3610404297427206E-3</v>
      </c>
    </row>
    <row r="13" spans="1:6" x14ac:dyDescent="0.35">
      <c r="A13" s="1">
        <v>10</v>
      </c>
      <c r="B13">
        <v>11</v>
      </c>
      <c r="C13" s="16">
        <v>0.12914351851851852</v>
      </c>
      <c r="D13" s="16">
        <f>'leg 2'!C35-'Leg 1'!C35</f>
        <v>7.7557870370370346E-2</v>
      </c>
      <c r="E13" s="1" t="str">
        <f>VLOOKUP(B13,Registration!$B$3:$C$77,2,FALSE)</f>
        <v>Men50+</v>
      </c>
      <c r="F13" s="27">
        <f t="shared" si="0"/>
        <v>5.9204481198755991E-3</v>
      </c>
    </row>
    <row r="14" spans="1:6" x14ac:dyDescent="0.35">
      <c r="A14" s="1">
        <v>11</v>
      </c>
      <c r="B14">
        <v>12</v>
      </c>
      <c r="C14" s="16">
        <v>0.12387731481481483</v>
      </c>
      <c r="D14" s="16">
        <f>'leg 2'!C29-'Leg 1'!C29</f>
        <v>8.160879629629629E-2</v>
      </c>
      <c r="E14" s="1" t="str">
        <f>VLOOKUP(B14,Registration!$B$3:$C$77,2,FALSE)</f>
        <v>Men50+</v>
      </c>
      <c r="F14" s="27">
        <f t="shared" si="0"/>
        <v>6.2296791065875028E-3</v>
      </c>
    </row>
    <row r="15" spans="1:6" x14ac:dyDescent="0.35">
      <c r="A15" s="1">
        <v>12</v>
      </c>
      <c r="B15">
        <v>13</v>
      </c>
      <c r="C15" s="16">
        <v>0.1277777777777778</v>
      </c>
      <c r="D15" s="16">
        <f>'leg 2'!C32-'Leg 1'!C32</f>
        <v>8.5636574074074073E-2</v>
      </c>
      <c r="E15" s="1" t="str">
        <f>VLOOKUP(B15,Registration!$B$3:$C$77,2,FALSE)</f>
        <v>Ultra</v>
      </c>
      <c r="F15" s="27">
        <f t="shared" si="0"/>
        <v>6.5371430590896243E-3</v>
      </c>
    </row>
    <row r="16" spans="1:6" x14ac:dyDescent="0.35">
      <c r="A16" s="1">
        <v>13</v>
      </c>
      <c r="B16">
        <v>14</v>
      </c>
      <c r="C16" s="16">
        <v>0.15782407407407409</v>
      </c>
      <c r="D16" s="16">
        <f>'leg 2'!C64-'Leg 1'!C64</f>
        <v>0.13792824074074078</v>
      </c>
      <c r="E16" s="1" t="str">
        <f>VLOOKUP(B16,Registration!$B$3:$C$77,2,FALSE)</f>
        <v>Womens</v>
      </c>
      <c r="F16" s="27">
        <f t="shared" si="0"/>
        <v>1.0528873338987846E-2</v>
      </c>
    </row>
    <row r="17" spans="1:6" x14ac:dyDescent="0.35">
      <c r="A17" s="1">
        <v>14</v>
      </c>
      <c r="B17">
        <v>16</v>
      </c>
      <c r="C17" s="16">
        <v>0.10986111111111112</v>
      </c>
      <c r="D17" s="16">
        <f>'leg 2'!C13-'Leg 1'!C13</f>
        <v>7.6331018518518506E-2</v>
      </c>
      <c r="E17" s="1" t="str">
        <f>VLOOKUP(B17,Registration!$B$3:$C$77,2,FALSE)</f>
        <v>Womens</v>
      </c>
      <c r="F17" s="27">
        <f t="shared" si="0"/>
        <v>5.826795306757138E-3</v>
      </c>
    </row>
    <row r="18" spans="1:6" x14ac:dyDescent="0.35">
      <c r="A18" s="1">
        <v>15</v>
      </c>
      <c r="B18">
        <v>17</v>
      </c>
      <c r="C18" s="16">
        <v>0.15065972222222221</v>
      </c>
      <c r="D18" s="16">
        <f>'leg 2'!C58-'Leg 1'!C58</f>
        <v>6.143518518518519E-2</v>
      </c>
      <c r="E18" s="1" t="str">
        <f>VLOOKUP(B18,Registration!$B$3:$C$77,2,FALSE)</f>
        <v>Womens</v>
      </c>
      <c r="F18" s="27">
        <f t="shared" si="0"/>
        <v>4.6897087927622282E-3</v>
      </c>
    </row>
    <row r="19" spans="1:6" x14ac:dyDescent="0.35">
      <c r="A19" s="1">
        <v>16</v>
      </c>
      <c r="B19">
        <v>18</v>
      </c>
      <c r="C19" s="16">
        <v>0.10148148148148149</v>
      </c>
      <c r="D19" s="16">
        <f>'leg 2'!C9-'Leg 1'!C9</f>
        <v>9.5081018518518523E-2</v>
      </c>
      <c r="E19" s="1" t="str">
        <f>VLOOKUP(B19,Registration!$B$3:$C$77,2,FALSE)</f>
        <v>Mixed</v>
      </c>
      <c r="F19" s="27">
        <f t="shared" si="0"/>
        <v>7.2580930166808036E-3</v>
      </c>
    </row>
    <row r="20" spans="1:6" x14ac:dyDescent="0.35">
      <c r="A20" s="1">
        <v>17</v>
      </c>
      <c r="B20">
        <v>19</v>
      </c>
      <c r="C20" s="16">
        <v>0.12822916666666667</v>
      </c>
      <c r="D20" s="16">
        <f>'leg 2'!C34-'Leg 1'!C34</f>
        <v>6.7152777777777783E-2</v>
      </c>
      <c r="E20" s="1" t="str">
        <f>VLOOKUP(B20,Registration!$B$3:$C$77,2,FALSE)</f>
        <v>Womens</v>
      </c>
      <c r="F20" s="27">
        <f t="shared" si="0"/>
        <v>5.126166242578457E-3</v>
      </c>
    </row>
    <row r="21" spans="1:6" x14ac:dyDescent="0.35">
      <c r="A21" s="1">
        <v>18</v>
      </c>
      <c r="B21">
        <v>21</v>
      </c>
      <c r="C21" s="16">
        <v>0.1152199074074074</v>
      </c>
      <c r="D21" s="16">
        <f>'leg 2'!C20-'Leg 1'!C20</f>
        <v>7.6666666666666661E-2</v>
      </c>
      <c r="E21" s="1" t="str">
        <f>VLOOKUP(B21,Registration!$B$3:$C$77,2,FALSE)</f>
        <v>Womens</v>
      </c>
      <c r="F21" s="27">
        <f t="shared" si="0"/>
        <v>5.8524173027989816E-3</v>
      </c>
    </row>
    <row r="22" spans="1:6" x14ac:dyDescent="0.35">
      <c r="A22" s="1">
        <v>19</v>
      </c>
      <c r="B22">
        <v>22</v>
      </c>
      <c r="C22" s="16">
        <v>0.11746527777777778</v>
      </c>
      <c r="D22" s="16">
        <f>'leg 2'!C24-'Leg 1'!C24</f>
        <v>7.5902777777777777E-2</v>
      </c>
      <c r="E22" s="1" t="str">
        <f>VLOOKUP(B22,Registration!$B$3:$C$77,2,FALSE)</f>
        <v>Wmn 40+</v>
      </c>
      <c r="F22" s="27">
        <f t="shared" si="0"/>
        <v>5.794105173876166E-3</v>
      </c>
    </row>
    <row r="23" spans="1:6" x14ac:dyDescent="0.35">
      <c r="A23" s="1">
        <v>20</v>
      </c>
      <c r="B23">
        <v>23</v>
      </c>
      <c r="C23" s="16">
        <v>0.15084490740740741</v>
      </c>
      <c r="D23" s="16">
        <f>'leg 2'!C59-'Leg 1'!C59</f>
        <v>7.8645833333333345E-2</v>
      </c>
      <c r="E23" s="1" t="str">
        <f>VLOOKUP(B23,Registration!$B$3:$C$77,2,FALSE)</f>
        <v>Mixed</v>
      </c>
      <c r="F23" s="27">
        <f t="shared" si="0"/>
        <v>6.0034987277353697E-3</v>
      </c>
    </row>
    <row r="24" spans="1:6" x14ac:dyDescent="0.35">
      <c r="A24" s="1">
        <v>21</v>
      </c>
      <c r="B24">
        <v>24</v>
      </c>
      <c r="C24" s="16">
        <v>0.11920138888888888</v>
      </c>
      <c r="D24" s="16">
        <f>'leg 2'!C27-'Leg 1'!C27</f>
        <v>6.7222222222222211E-2</v>
      </c>
      <c r="E24" s="1" t="str">
        <f>VLOOKUP(B24,Registration!$B$3:$C$77,2,FALSE)</f>
        <v>Mixed</v>
      </c>
      <c r="F24" s="27">
        <f t="shared" si="0"/>
        <v>5.1314673452078022E-3</v>
      </c>
    </row>
    <row r="25" spans="1:6" x14ac:dyDescent="0.35">
      <c r="A25" s="1">
        <v>22</v>
      </c>
      <c r="B25">
        <v>25</v>
      </c>
      <c r="C25" s="16">
        <v>0.11482638888888889</v>
      </c>
      <c r="D25" s="16">
        <f>'leg 2'!C18-'Leg 1'!C18</f>
        <v>9.2962962962962942E-2</v>
      </c>
      <c r="E25" s="1" t="str">
        <f>VLOOKUP(B25,Registration!$B$3:$C$77,2,FALSE)</f>
        <v>Mixed</v>
      </c>
      <c r="F25" s="27">
        <f t="shared" si="0"/>
        <v>7.0964093864857207E-3</v>
      </c>
    </row>
    <row r="26" spans="1:6" x14ac:dyDescent="0.35">
      <c r="A26" s="1">
        <v>23</v>
      </c>
      <c r="B26">
        <v>26</v>
      </c>
      <c r="C26" s="16">
        <v>0.11496527777777778</v>
      </c>
      <c r="D26" s="16">
        <f>'leg 2'!C19-'Leg 1'!C19</f>
        <v>5.0578703703703716E-2</v>
      </c>
      <c r="E26" s="1" t="str">
        <f>VLOOKUP(B26,Registration!$B$3:$C$77,2,FALSE)</f>
        <v>Mixed</v>
      </c>
      <c r="F26" s="27">
        <f t="shared" si="0"/>
        <v>3.8609697483743296E-3</v>
      </c>
    </row>
    <row r="27" spans="1:6" x14ac:dyDescent="0.35">
      <c r="A27" s="1">
        <v>24</v>
      </c>
      <c r="B27">
        <v>27</v>
      </c>
      <c r="C27" s="16">
        <v>0.13978009259259258</v>
      </c>
      <c r="D27" s="16">
        <f>'leg 2'!C51-'Leg 1'!C51</f>
        <v>0.12442129629629631</v>
      </c>
      <c r="E27" s="1" t="str">
        <f>VLOOKUP(B27,Registration!$B$3:$C$77,2,FALSE)</f>
        <v>Mixed</v>
      </c>
      <c r="F27" s="27">
        <f t="shared" si="0"/>
        <v>9.4978088775798716E-3</v>
      </c>
    </row>
    <row r="28" spans="1:6" x14ac:dyDescent="0.35">
      <c r="A28" s="1">
        <v>25</v>
      </c>
      <c r="B28">
        <v>28</v>
      </c>
      <c r="C28" s="16">
        <v>0.12796296296296297</v>
      </c>
      <c r="D28" s="16">
        <f>'leg 2'!C33-'Leg 1'!C33</f>
        <v>7.7118055555555565E-2</v>
      </c>
      <c r="E28" s="1" t="str">
        <f>VLOOKUP(B28,Registration!$B$3:$C$77,2,FALSE)</f>
        <v>Mixed</v>
      </c>
      <c r="F28" s="27">
        <f t="shared" si="0"/>
        <v>5.8868744698897376E-3</v>
      </c>
    </row>
    <row r="29" spans="1:6" x14ac:dyDescent="0.35">
      <c r="A29" s="1">
        <v>26</v>
      </c>
      <c r="B29">
        <v>29</v>
      </c>
      <c r="C29" s="16">
        <v>0.14629629629629629</v>
      </c>
      <c r="D29" s="16">
        <f>'leg 2'!C57-'Leg 1'!C57</f>
        <v>4.7523148148148148E-2</v>
      </c>
      <c r="E29" s="1" t="str">
        <f>VLOOKUP(B29,Registration!$B$3:$C$77,2,FALSE)</f>
        <v>Mixed</v>
      </c>
      <c r="F29" s="27">
        <f t="shared" si="0"/>
        <v>3.6277212326830646E-3</v>
      </c>
    </row>
    <row r="30" spans="1:6" x14ac:dyDescent="0.35">
      <c r="A30" s="1">
        <v>27</v>
      </c>
      <c r="B30">
        <v>30</v>
      </c>
      <c r="C30" s="16">
        <v>0.13542824074074075</v>
      </c>
      <c r="D30" s="16">
        <f>'leg 2'!C44-'Leg 1'!C44</f>
        <v>0.10843749999999999</v>
      </c>
      <c r="E30" s="1" t="str">
        <f>VLOOKUP(B30,Registration!$B$3:$C$77,2,FALSE)</f>
        <v>Mixed</v>
      </c>
      <c r="F30" s="27">
        <f t="shared" si="0"/>
        <v>8.2776717557251911E-3</v>
      </c>
    </row>
    <row r="31" spans="1:6" x14ac:dyDescent="0.35">
      <c r="A31" s="1">
        <v>28</v>
      </c>
      <c r="B31">
        <v>31</v>
      </c>
      <c r="C31" s="16">
        <v>0.13067129629629629</v>
      </c>
      <c r="D31" s="16">
        <f>'leg 2'!C38-'Leg 1'!C38</f>
        <v>6.1018518518518514E-2</v>
      </c>
      <c r="E31" s="1" t="str">
        <f>VLOOKUP(B31,Registration!$B$3:$C$77,2,FALSE)</f>
        <v>Mixed</v>
      </c>
      <c r="F31" s="27">
        <f t="shared" si="0"/>
        <v>4.6579021769861464E-3</v>
      </c>
    </row>
    <row r="32" spans="1:6" x14ac:dyDescent="0.35">
      <c r="A32" s="1">
        <v>29</v>
      </c>
      <c r="B32">
        <v>32</v>
      </c>
      <c r="C32" s="16">
        <v>0.13744212962962962</v>
      </c>
      <c r="D32" s="16">
        <f>'leg 2'!C47-'Leg 1'!C47</f>
        <v>8.7824074074074054E-2</v>
      </c>
      <c r="E32" s="1" t="str">
        <f>VLOOKUP(B32,Registration!$B$3:$C$77,2,FALSE)</f>
        <v>Mixed</v>
      </c>
      <c r="F32" s="27">
        <f t="shared" si="0"/>
        <v>6.7041277919140498E-3</v>
      </c>
    </row>
    <row r="33" spans="1:6" x14ac:dyDescent="0.35">
      <c r="A33" s="1">
        <v>30</v>
      </c>
      <c r="B33">
        <v>34</v>
      </c>
      <c r="C33" s="16">
        <v>0.13002314814814817</v>
      </c>
      <c r="D33" s="16">
        <f>'leg 2'!C36-'Leg 1'!C36</f>
        <v>5.7199074074074069E-2</v>
      </c>
      <c r="E33" s="1" t="str">
        <f>VLOOKUP(B33,Registration!$B$3:$C$77,2,FALSE)</f>
        <v>Mixed</v>
      </c>
      <c r="F33" s="27">
        <f t="shared" si="0"/>
        <v>4.3663415323720667E-3</v>
      </c>
    </row>
    <row r="34" spans="1:6" x14ac:dyDescent="0.35">
      <c r="A34" s="1">
        <v>31</v>
      </c>
      <c r="B34">
        <v>35</v>
      </c>
      <c r="C34" s="16">
        <v>0.12461805555555555</v>
      </c>
      <c r="D34" s="16">
        <f>'leg 2'!C30-'Leg 1'!C30</f>
        <v>6.5729166666666686E-2</v>
      </c>
      <c r="E34" s="1" t="str">
        <f>VLOOKUP(B34,Registration!$B$3:$C$77,2,FALSE)</f>
        <v>Mixed</v>
      </c>
      <c r="F34" s="27">
        <f t="shared" si="0"/>
        <v>5.0174936386768463E-3</v>
      </c>
    </row>
    <row r="35" spans="1:6" x14ac:dyDescent="0.35">
      <c r="A35" s="1">
        <v>32</v>
      </c>
      <c r="B35">
        <v>36</v>
      </c>
      <c r="C35" s="16">
        <v>0.13503472222222221</v>
      </c>
      <c r="D35" s="16">
        <f>'leg 2'!C43-'Leg 1'!C43</f>
        <v>7.0798611111111104E-2</v>
      </c>
      <c r="E35" s="1" t="str">
        <f>VLOOKUP(B35,Registration!$B$3:$C$77,2,FALSE)</f>
        <v>Mixed</v>
      </c>
      <c r="F35" s="27">
        <f t="shared" si="0"/>
        <v>5.4044741306191685E-3</v>
      </c>
    </row>
    <row r="36" spans="1:6" x14ac:dyDescent="0.35">
      <c r="A36" s="1">
        <v>33</v>
      </c>
      <c r="B36">
        <v>37</v>
      </c>
      <c r="C36" s="16">
        <v>0.11680555555555555</v>
      </c>
      <c r="D36" s="16">
        <f>'leg 2'!C22-'Leg 1'!C22</f>
        <v>7.1921296296296303E-2</v>
      </c>
      <c r="E36" s="1" t="str">
        <f>VLOOKUP(B36,Registration!$B$3:$C$77,2,FALSE)</f>
        <v>Mixed</v>
      </c>
      <c r="F36" s="27">
        <f t="shared" ref="F36:F70" si="1">D36/13.1</f>
        <v>5.4901752897936109E-3</v>
      </c>
    </row>
    <row r="37" spans="1:6" x14ac:dyDescent="0.35">
      <c r="A37" s="1">
        <v>34</v>
      </c>
      <c r="B37">
        <v>38</v>
      </c>
      <c r="C37" s="16">
        <v>0.12385416666666667</v>
      </c>
      <c r="D37" s="16">
        <f>'leg 2'!C28-'Leg 1'!C28</f>
        <v>6.2395833333333345E-2</v>
      </c>
      <c r="E37" s="1" t="str">
        <f>VLOOKUP(B37,Registration!$B$3:$C$77,2,FALSE)</f>
        <v>Mixed</v>
      </c>
      <c r="F37" s="27">
        <f t="shared" si="1"/>
        <v>4.7630407124681943E-3</v>
      </c>
    </row>
    <row r="38" spans="1:6" x14ac:dyDescent="0.35">
      <c r="A38" s="1">
        <v>35</v>
      </c>
      <c r="B38">
        <v>39</v>
      </c>
      <c r="C38" s="16">
        <v>0.13903935185185184</v>
      </c>
      <c r="D38" s="16">
        <f>'leg 2'!C50-'Leg 1'!C50</f>
        <v>5.0289351851851842E-2</v>
      </c>
      <c r="E38" s="1" t="str">
        <f>VLOOKUP(B38,Registration!$B$3:$C$77,2,FALSE)</f>
        <v>Mixed</v>
      </c>
      <c r="F38" s="27">
        <f t="shared" si="1"/>
        <v>3.8388818207520489E-3</v>
      </c>
    </row>
    <row r="39" spans="1:6" x14ac:dyDescent="0.35">
      <c r="A39" s="1">
        <v>36</v>
      </c>
      <c r="B39">
        <v>40</v>
      </c>
      <c r="C39" s="16">
        <v>0.16067129629629631</v>
      </c>
      <c r="E39" s="1" t="str">
        <f>VLOOKUP(B39,Registration!$B$3:$C$77,2,FALSE)</f>
        <v>Mixed</v>
      </c>
      <c r="F39" s="27">
        <f t="shared" si="1"/>
        <v>0</v>
      </c>
    </row>
    <row r="40" spans="1:6" x14ac:dyDescent="0.35">
      <c r="A40" s="1">
        <v>37</v>
      </c>
      <c r="B40">
        <v>41</v>
      </c>
      <c r="C40" s="16">
        <v>0.15630787037037039</v>
      </c>
      <c r="D40" s="16">
        <f>'leg 2'!C62-'Leg 1'!C62</f>
        <v>8.2418981481481468E-2</v>
      </c>
      <c r="E40" s="1" t="str">
        <f>VLOOKUP(B40,Registration!$B$3:$C$77,2,FALSE)</f>
        <v>Mixed</v>
      </c>
      <c r="F40" s="27">
        <f t="shared" si="1"/>
        <v>6.2915253039298831E-3</v>
      </c>
    </row>
    <row r="41" spans="1:6" x14ac:dyDescent="0.35">
      <c r="A41" s="1">
        <v>38</v>
      </c>
      <c r="B41">
        <v>42</v>
      </c>
      <c r="C41" s="16">
        <v>0.1358449074074074</v>
      </c>
      <c r="D41" s="16">
        <f>'leg 2'!C45-'Leg 1'!C45</f>
        <v>9.2928240740740742E-2</v>
      </c>
      <c r="E41" s="1" t="str">
        <f>VLOOKUP(B41,Registration!$B$3:$C$77,2,FALSE)</f>
        <v>Mixed</v>
      </c>
      <c r="F41" s="27">
        <f t="shared" si="1"/>
        <v>7.093758835171049E-3</v>
      </c>
    </row>
    <row r="42" spans="1:6" x14ac:dyDescent="0.35">
      <c r="A42" s="1">
        <v>39</v>
      </c>
      <c r="B42" s="38">
        <v>43</v>
      </c>
      <c r="C42" s="16">
        <v>0.1190625</v>
      </c>
      <c r="D42" s="16">
        <f>'leg 2'!C26-'Leg 1'!C26</f>
        <v>5.3749999999999999E-2</v>
      </c>
      <c r="E42" s="1" t="str">
        <f>VLOOKUP(B42,Registration!$B$3:$C$77,2,FALSE)</f>
        <v>Mixed</v>
      </c>
      <c r="F42" s="27">
        <f t="shared" si="1"/>
        <v>4.1030534351145041E-3</v>
      </c>
    </row>
    <row r="43" spans="1:6" x14ac:dyDescent="0.35">
      <c r="A43" s="1">
        <v>40</v>
      </c>
      <c r="B43">
        <v>45</v>
      </c>
      <c r="C43" s="16">
        <v>0.13312499999999999</v>
      </c>
      <c r="D43" s="16">
        <f>'leg 2'!C41-'Leg 1'!C41</f>
        <v>6.1863425925925919E-2</v>
      </c>
      <c r="E43" s="1" t="str">
        <f>VLOOKUP(B43,Registration!$B$3:$C$77,2,FALSE)</f>
        <v>Mixed</v>
      </c>
      <c r="F43" s="27">
        <f t="shared" si="1"/>
        <v>4.7223989256432002E-3</v>
      </c>
    </row>
    <row r="44" spans="1:6" x14ac:dyDescent="0.35">
      <c r="A44" s="1">
        <v>41</v>
      </c>
      <c r="B44">
        <v>46</v>
      </c>
      <c r="C44" s="16">
        <v>0.15408564814814815</v>
      </c>
      <c r="D44" s="16">
        <f>'leg 2'!C60-'Leg 1'!C60</f>
        <v>8.2731481481481489E-2</v>
      </c>
      <c r="E44" s="1" t="str">
        <f>VLOOKUP(B44,Registration!$B$3:$C$77,2,FALSE)</f>
        <v>Mixed</v>
      </c>
      <c r="F44" s="27">
        <f t="shared" si="1"/>
        <v>6.3153802657619461E-3</v>
      </c>
    </row>
    <row r="45" spans="1:6" x14ac:dyDescent="0.35">
      <c r="A45" s="1">
        <v>42</v>
      </c>
      <c r="B45">
        <v>47</v>
      </c>
      <c r="C45" s="16">
        <v>0.14245370370370369</v>
      </c>
      <c r="D45" s="16">
        <f>'leg 2'!C53-'Leg 1'!C53</f>
        <v>7.6562499999999992E-2</v>
      </c>
      <c r="E45" s="1" t="str">
        <f>VLOOKUP(B45,Registration!$B$3:$C$77,2,FALSE)</f>
        <v>Mixed</v>
      </c>
      <c r="F45" s="27">
        <f t="shared" si="1"/>
        <v>5.8444656488549612E-3</v>
      </c>
    </row>
    <row r="46" spans="1:6" x14ac:dyDescent="0.35">
      <c r="A46" s="1">
        <v>43</v>
      </c>
      <c r="B46">
        <v>48</v>
      </c>
      <c r="C46" s="16">
        <v>0.1628125</v>
      </c>
      <c r="E46" s="1" t="str">
        <f>VLOOKUP(B46,Registration!$B$3:$C$77,2,FALSE)</f>
        <v>Mixed</v>
      </c>
      <c r="F46" s="27">
        <f t="shared" si="1"/>
        <v>0</v>
      </c>
    </row>
    <row r="47" spans="1:6" x14ac:dyDescent="0.35">
      <c r="A47" s="1">
        <v>44</v>
      </c>
      <c r="B47">
        <v>49</v>
      </c>
      <c r="C47" s="16">
        <v>0.13677083333333331</v>
      </c>
      <c r="D47" s="16">
        <f>'leg 2'!C46-'Leg 1'!C46</f>
        <v>8.2245370370370371E-2</v>
      </c>
      <c r="E47" s="1" t="str">
        <f>VLOOKUP(B47,Registration!$B$3:$C$77,2,FALSE)</f>
        <v>Mixed</v>
      </c>
      <c r="F47" s="27">
        <f t="shared" si="1"/>
        <v>6.2782725473565174E-3</v>
      </c>
    </row>
    <row r="48" spans="1:6" x14ac:dyDescent="0.35">
      <c r="A48" s="1">
        <v>45</v>
      </c>
      <c r="B48">
        <v>50</v>
      </c>
      <c r="C48" s="16">
        <v>0.11306712962962963</v>
      </c>
      <c r="D48" s="16">
        <f>'leg 2'!C15-'Leg 1'!C15</f>
        <v>7.8252314814814844E-2</v>
      </c>
      <c r="E48" s="1" t="str">
        <f>VLOOKUP(B48,Registration!$B$3:$C$77,2,FALSE)</f>
        <v>Mixed</v>
      </c>
      <c r="F48" s="27">
        <f t="shared" si="1"/>
        <v>5.973459146169072E-3</v>
      </c>
    </row>
    <row r="49" spans="1:6" x14ac:dyDescent="0.35">
      <c r="A49" s="1">
        <v>46</v>
      </c>
      <c r="B49">
        <v>51</v>
      </c>
      <c r="C49" s="16">
        <v>0.1698611111111111</v>
      </c>
      <c r="F49" s="27">
        <f t="shared" si="1"/>
        <v>0</v>
      </c>
    </row>
    <row r="50" spans="1:6" x14ac:dyDescent="0.35">
      <c r="A50" s="1">
        <v>47</v>
      </c>
      <c r="B50">
        <v>52</v>
      </c>
      <c r="C50" s="16">
        <v>0.10993055555555555</v>
      </c>
      <c r="D50" s="16">
        <f>'leg 2'!C14-'Leg 1'!C14</f>
        <v>7.0289351851851867E-2</v>
      </c>
      <c r="E50" s="1" t="str">
        <f>VLOOKUP(B50,Registration!$B$3:$C$77,2,FALSE)</f>
        <v>Men's</v>
      </c>
      <c r="F50" s="27">
        <f t="shared" si="1"/>
        <v>5.3655993780039593E-3</v>
      </c>
    </row>
    <row r="51" spans="1:6" x14ac:dyDescent="0.35">
      <c r="A51" s="1">
        <v>48</v>
      </c>
      <c r="B51">
        <v>53</v>
      </c>
      <c r="C51" s="16">
        <v>0.17997685185185186</v>
      </c>
      <c r="F51" s="27">
        <f t="shared" si="1"/>
        <v>0</v>
      </c>
    </row>
    <row r="52" spans="1:6" x14ac:dyDescent="0.35">
      <c r="A52" s="1">
        <v>49</v>
      </c>
      <c r="B52">
        <v>55</v>
      </c>
      <c r="C52" s="16">
        <v>0.11818287037037038</v>
      </c>
      <c r="D52" s="16">
        <f>'leg 2'!C25-'Leg 1'!C25</f>
        <v>5.1793981481481483E-2</v>
      </c>
      <c r="E52" s="1" t="str">
        <f>VLOOKUP(B52,Registration!$B$3:$C$77,2,FALSE)</f>
        <v>Mixed40+</v>
      </c>
      <c r="F52" s="27">
        <f t="shared" si="1"/>
        <v>3.9537390443878991E-3</v>
      </c>
    </row>
    <row r="53" spans="1:6" x14ac:dyDescent="0.35">
      <c r="A53" s="1">
        <v>50</v>
      </c>
      <c r="B53">
        <v>56</v>
      </c>
      <c r="C53" s="16">
        <v>0.14292824074074073</v>
      </c>
      <c r="D53" s="16">
        <f>'leg 2'!C54-'Leg 1'!C54</f>
        <v>9.0046296296296319E-2</v>
      </c>
      <c r="E53" s="1" t="str">
        <f>VLOOKUP(B53,Registration!$B$3:$C$77,2,FALSE)</f>
        <v>Mixed40+</v>
      </c>
      <c r="F53" s="27">
        <f t="shared" si="1"/>
        <v>6.873763076053154E-3</v>
      </c>
    </row>
    <row r="54" spans="1:6" x14ac:dyDescent="0.35">
      <c r="A54" s="1">
        <v>51</v>
      </c>
      <c r="B54">
        <v>57</v>
      </c>
      <c r="C54" s="16">
        <v>0.14469907407407409</v>
      </c>
      <c r="D54" s="16">
        <f>'leg 2'!C56-'Leg 1'!C56</f>
        <v>7.4560185185185188E-2</v>
      </c>
      <c r="E54" s="1" t="str">
        <f>VLOOKUP(B54,Registration!$B$3:$C$77,2,FALSE)</f>
        <v>Mixed40+</v>
      </c>
      <c r="F54" s="27">
        <f t="shared" si="1"/>
        <v>5.6916171897087933E-3</v>
      </c>
    </row>
    <row r="55" spans="1:6" x14ac:dyDescent="0.35">
      <c r="A55" s="1">
        <v>52</v>
      </c>
      <c r="B55">
        <v>58</v>
      </c>
      <c r="C55" s="16">
        <v>0.1275</v>
      </c>
      <c r="D55" s="16">
        <f>'leg 2'!C31-'Leg 1'!C31</f>
        <v>7.559027777777777E-2</v>
      </c>
      <c r="E55" s="1" t="str">
        <f>VLOOKUP(B55,Registration!$B$3:$C$77,2,FALSE)</f>
        <v>Mixed40+</v>
      </c>
      <c r="F55" s="27">
        <f t="shared" si="1"/>
        <v>5.7702502120441047E-3</v>
      </c>
    </row>
    <row r="56" spans="1:6" x14ac:dyDescent="0.35">
      <c r="A56" s="1">
        <v>53</v>
      </c>
      <c r="B56">
        <v>59</v>
      </c>
      <c r="C56" s="16">
        <v>0.13787037037037037</v>
      </c>
      <c r="D56" s="16">
        <f>'leg 2'!C49-'Leg 1'!C49</f>
        <v>0.1041898148148148</v>
      </c>
      <c r="E56" s="1" t="str">
        <f>VLOOKUP(B56,Registration!$B$3:$C$77,2,FALSE)</f>
        <v>Corp</v>
      </c>
      <c r="F56" s="27">
        <f t="shared" si="1"/>
        <v>7.9534209782301385E-3</v>
      </c>
    </row>
    <row r="57" spans="1:6" x14ac:dyDescent="0.35">
      <c r="A57" s="1">
        <v>54</v>
      </c>
      <c r="B57">
        <v>60</v>
      </c>
      <c r="C57" s="16">
        <v>0.11660879629629629</v>
      </c>
      <c r="D57" s="16">
        <f>'leg 2'!C21-'Leg 1'!C21</f>
        <v>4.3993055555555535E-2</v>
      </c>
      <c r="E57" s="1" t="str">
        <f>VLOOKUP(B57,Registration!$B$3:$C$77,2,FALSE)</f>
        <v>Corp</v>
      </c>
      <c r="F57" s="27">
        <f t="shared" si="1"/>
        <v>3.3582485156912621E-3</v>
      </c>
    </row>
    <row r="58" spans="1:6" x14ac:dyDescent="0.35">
      <c r="A58" s="1">
        <v>55</v>
      </c>
      <c r="B58">
        <v>61</v>
      </c>
      <c r="C58" s="16">
        <v>0.13747685185185185</v>
      </c>
      <c r="D58" s="16">
        <f>'leg 2'!C48-'Leg 1'!C48</f>
        <v>6.0752314814814815E-2</v>
      </c>
      <c r="E58" s="1" t="str">
        <f>VLOOKUP(B58,Registration!$B$3:$C$77,2,FALSE)</f>
        <v>Corp</v>
      </c>
      <c r="F58" s="27">
        <f t="shared" si="1"/>
        <v>4.6375812835736498E-3</v>
      </c>
    </row>
    <row r="59" spans="1:6" x14ac:dyDescent="0.35">
      <c r="A59" s="1">
        <v>56</v>
      </c>
      <c r="B59">
        <v>62</v>
      </c>
      <c r="C59" s="16">
        <v>0.14303240740740741</v>
      </c>
      <c r="D59" s="16">
        <f>'leg 2'!C55-'Leg 1'!C55</f>
        <v>6.925925925925927E-2</v>
      </c>
      <c r="E59" s="1" t="str">
        <f>VLOOKUP(B59,Registration!$B$3:$C$77,2,FALSE)</f>
        <v>Corp</v>
      </c>
      <c r="F59" s="27">
        <f t="shared" si="1"/>
        <v>5.286966355668647E-3</v>
      </c>
    </row>
    <row r="60" spans="1:6" x14ac:dyDescent="0.35">
      <c r="A60" s="1">
        <v>57</v>
      </c>
      <c r="B60">
        <v>63</v>
      </c>
      <c r="C60" s="16">
        <v>0.13030092592592593</v>
      </c>
      <c r="D60" s="16">
        <f>'leg 2'!C37-'Leg 1'!C37</f>
        <v>5.7592592592592598E-2</v>
      </c>
      <c r="E60" s="1" t="str">
        <f>VLOOKUP(B60,Registration!$B$3:$C$77,2,FALSE)</f>
        <v>Corp</v>
      </c>
      <c r="F60" s="27">
        <f t="shared" si="1"/>
        <v>4.3963811139383661E-3</v>
      </c>
    </row>
    <row r="61" spans="1:6" x14ac:dyDescent="0.35">
      <c r="A61" s="1">
        <v>58</v>
      </c>
      <c r="B61">
        <v>64</v>
      </c>
      <c r="C61" s="16">
        <v>0.13170138888888888</v>
      </c>
      <c r="D61" s="16">
        <f>'leg 2'!C40-'Leg 1'!C40</f>
        <v>8.8900462962962973E-2</v>
      </c>
      <c r="E61" s="1" t="str">
        <f>VLOOKUP(B61,Registration!$B$3:$C$77,2,FALSE)</f>
        <v>Corp</v>
      </c>
      <c r="F61" s="27">
        <f t="shared" si="1"/>
        <v>6.7862948826689293E-3</v>
      </c>
    </row>
    <row r="62" spans="1:6" x14ac:dyDescent="0.35">
      <c r="A62" s="1">
        <v>59</v>
      </c>
      <c r="B62">
        <v>65</v>
      </c>
      <c r="C62" s="16">
        <v>0.13109953703703703</v>
      </c>
      <c r="D62" s="16">
        <f>'leg 2'!C39-'Leg 1'!C39</f>
        <v>0.11375000000000002</v>
      </c>
      <c r="E62" s="1" t="str">
        <f>VLOOKUP(B62,Registration!$B$3:$C$77,2,FALSE)</f>
        <v>Corp</v>
      </c>
      <c r="F62" s="27">
        <f t="shared" si="1"/>
        <v>8.6832061068702303E-3</v>
      </c>
    </row>
    <row r="63" spans="1:6" x14ac:dyDescent="0.35">
      <c r="A63" s="1">
        <v>60</v>
      </c>
      <c r="B63">
        <v>66</v>
      </c>
      <c r="C63" s="16">
        <v>0.14064814814814816</v>
      </c>
      <c r="D63" s="16">
        <f>'leg 2'!C52-'Leg 1'!C52</f>
        <v>7.3564814814814833E-2</v>
      </c>
      <c r="E63" s="1" t="str">
        <f>VLOOKUP(B63,Registration!$B$3:$C$77,2,FALSE)</f>
        <v>Corp</v>
      </c>
      <c r="F63" s="27">
        <f t="shared" si="1"/>
        <v>5.6156347186881554E-3</v>
      </c>
    </row>
    <row r="64" spans="1:6" x14ac:dyDescent="0.35">
      <c r="A64" s="1">
        <v>61</v>
      </c>
      <c r="B64">
        <v>67</v>
      </c>
      <c r="C64" s="16">
        <v>0.17718750000000003</v>
      </c>
      <c r="F64" s="27">
        <f t="shared" si="1"/>
        <v>0</v>
      </c>
    </row>
    <row r="65" spans="1:6" x14ac:dyDescent="0.35">
      <c r="A65" s="1">
        <v>62</v>
      </c>
      <c r="B65">
        <v>68</v>
      </c>
      <c r="C65" s="16">
        <v>0.16753472222222221</v>
      </c>
      <c r="E65" s="1" t="str">
        <f>VLOOKUP(B65,Registration!$B$3:$C$77,2,FALSE)</f>
        <v>HS-Girls</v>
      </c>
      <c r="F65" s="27">
        <f t="shared" si="1"/>
        <v>0</v>
      </c>
    </row>
    <row r="66" spans="1:6" x14ac:dyDescent="0.35">
      <c r="A66" s="1">
        <v>63</v>
      </c>
      <c r="B66">
        <v>69</v>
      </c>
      <c r="C66" s="16">
        <v>0.11743055555555555</v>
      </c>
      <c r="D66" s="16">
        <f>'leg 2'!C23-'Leg 1'!C23</f>
        <v>0.10027777777777777</v>
      </c>
      <c r="E66" s="1" t="str">
        <f>VLOOKUP(B66,Registration!$B$3:$C$77,2,FALSE)</f>
        <v>HS -Boys</v>
      </c>
      <c r="F66" s="27">
        <f t="shared" si="1"/>
        <v>7.6547921967769295E-3</v>
      </c>
    </row>
    <row r="67" spans="1:6" x14ac:dyDescent="0.35">
      <c r="A67" s="1">
        <v>64</v>
      </c>
      <c r="B67">
        <v>70</v>
      </c>
      <c r="C67" s="16">
        <v>0.11405092592592592</v>
      </c>
      <c r="D67" s="16">
        <f>'leg 2'!C16-'Leg 1'!C16</f>
        <v>8.2233796296296305E-2</v>
      </c>
      <c r="E67" s="1" t="str">
        <f>VLOOKUP(B67,Registration!$B$3:$C$77,2,FALSE)</f>
        <v>HS-Boys</v>
      </c>
      <c r="F67" s="27">
        <f t="shared" si="1"/>
        <v>6.2773890302516263E-3</v>
      </c>
    </row>
    <row r="68" spans="1:6" x14ac:dyDescent="0.35">
      <c r="A68" s="1">
        <v>65</v>
      </c>
      <c r="B68">
        <v>71</v>
      </c>
      <c r="C68" s="16">
        <v>0.10685185185185185</v>
      </c>
      <c r="D68" s="16">
        <f>'leg 2'!C11-'Leg 1'!C11</f>
        <v>5.5798611111111104E-2</v>
      </c>
      <c r="E68" s="1" t="str">
        <f>VLOOKUP(B68,Registration!$B$3:$C$77,2,FALSE)</f>
        <v>HS-Boys</v>
      </c>
      <c r="F68" s="27">
        <f t="shared" si="1"/>
        <v>4.2594359626802374E-3</v>
      </c>
    </row>
    <row r="69" spans="1:6" x14ac:dyDescent="0.35">
      <c r="A69" s="1">
        <v>66</v>
      </c>
      <c r="B69">
        <v>72</v>
      </c>
      <c r="C69" s="16">
        <v>0.1143287037037037</v>
      </c>
      <c r="D69" s="16">
        <f>'leg 2'!C17-'Leg 1'!C17</f>
        <v>6.7812499999999998E-2</v>
      </c>
      <c r="E69" s="1" t="str">
        <f>VLOOKUP(B69,Registration!$B$3:$C$77,2,FALSE)</f>
        <v>HS-Boys</v>
      </c>
      <c r="F69" s="27">
        <f t="shared" si="1"/>
        <v>5.1765267175572522E-3</v>
      </c>
    </row>
    <row r="70" spans="1:6" x14ac:dyDescent="0.35">
      <c r="A70" s="1">
        <v>67</v>
      </c>
      <c r="B70">
        <v>73</v>
      </c>
      <c r="C70" s="16">
        <v>0.10108796296296296</v>
      </c>
      <c r="D70" s="16">
        <f>'leg 2'!C8-'Leg 1'!C8</f>
        <v>6.9571759259259236E-2</v>
      </c>
      <c r="E70" s="1" t="str">
        <f>VLOOKUP(B70,Registration!$B$3:$C$77,2,FALSE)</f>
        <v>HS-Boys</v>
      </c>
      <c r="F70" s="27">
        <f t="shared" si="1"/>
        <v>5.3108213175007048E-3</v>
      </c>
    </row>
    <row r="71" spans="1:6" x14ac:dyDescent="0.35">
      <c r="F71" s="27"/>
    </row>
    <row r="72" spans="1:6" x14ac:dyDescent="0.35">
      <c r="F72" s="27"/>
    </row>
    <row r="73" spans="1:6" x14ac:dyDescent="0.35">
      <c r="F73" s="27"/>
    </row>
    <row r="74" spans="1:6" x14ac:dyDescent="0.35">
      <c r="F74" s="27"/>
    </row>
    <row r="75" spans="1:6" x14ac:dyDescent="0.35">
      <c r="F75" s="27"/>
    </row>
    <row r="76" spans="1:6" x14ac:dyDescent="0.35">
      <c r="F76" s="27"/>
    </row>
    <row r="77" spans="1:6" x14ac:dyDescent="0.35">
      <c r="F77" s="27"/>
    </row>
  </sheetData>
  <sortState ref="B4:F70">
    <sortCondition ref="B4:B70"/>
  </sortState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7"/>
  <sheetViews>
    <sheetView workbookViewId="0">
      <selection activeCell="F2" sqref="F2"/>
    </sheetView>
  </sheetViews>
  <sheetFormatPr defaultColWidth="8.81640625" defaultRowHeight="14.5" x14ac:dyDescent="0.35"/>
  <cols>
    <col min="1" max="1" width="5.453125" customWidth="1"/>
    <col min="2" max="2" width="6.1796875" bestFit="1" customWidth="1"/>
    <col min="3" max="3" width="11.81640625" style="16" bestFit="1" customWidth="1"/>
    <col min="4" max="4" width="7.36328125" customWidth="1"/>
    <col min="5" max="5" width="8.81640625" style="1"/>
    <col min="9" max="9" width="6.36328125" customWidth="1"/>
    <col min="10" max="10" width="5.453125" customWidth="1"/>
    <col min="15" max="15" width="3.6328125" customWidth="1"/>
    <col min="16" max="16" width="6.453125" customWidth="1"/>
    <col min="17" max="17" width="5.6328125" customWidth="1"/>
  </cols>
  <sheetData>
    <row r="1" spans="1:6" ht="18.5" x14ac:dyDescent="0.45">
      <c r="A1" s="4" t="s">
        <v>11</v>
      </c>
      <c r="B1" s="5">
        <v>2018</v>
      </c>
      <c r="C1" s="14"/>
      <c r="D1" s="10"/>
      <c r="E1" s="31"/>
    </row>
    <row r="2" spans="1:6" ht="18.5" x14ac:dyDescent="0.45">
      <c r="B2" s="5"/>
      <c r="C2" s="14"/>
      <c r="D2" s="10"/>
      <c r="E2" s="31"/>
      <c r="F2" s="34" t="s">
        <v>18</v>
      </c>
    </row>
    <row r="3" spans="1:6" ht="15.5" x14ac:dyDescent="0.35">
      <c r="A3" s="12" t="s">
        <v>16</v>
      </c>
      <c r="B3" s="9" t="s">
        <v>5</v>
      </c>
      <c r="C3" s="20" t="s">
        <v>15</v>
      </c>
      <c r="D3" s="6" t="s">
        <v>0</v>
      </c>
      <c r="E3" s="6" t="s">
        <v>1</v>
      </c>
      <c r="F3" s="21" t="s">
        <v>17</v>
      </c>
    </row>
    <row r="4" spans="1:6" x14ac:dyDescent="0.35">
      <c r="A4" s="1">
        <v>1</v>
      </c>
      <c r="B4">
        <v>1</v>
      </c>
      <c r="C4" s="16">
        <v>0.12983796296296296</v>
      </c>
      <c r="D4" s="1" t="str">
        <f>VLOOKUP(B4,Registration!$B$3:$C$77,2,FALSE)</f>
        <v>Men's</v>
      </c>
      <c r="F4" s="16" t="e">
        <f>#REF!/9.6</f>
        <v>#REF!</v>
      </c>
    </row>
    <row r="5" spans="1:6" x14ac:dyDescent="0.35">
      <c r="A5" s="1">
        <v>2</v>
      </c>
      <c r="B5">
        <v>8</v>
      </c>
      <c r="C5" s="16">
        <v>0.13148148148148148</v>
      </c>
      <c r="D5" s="1" t="str">
        <f>VLOOKUP(B5,Registration!$B$3:$C$77,2,FALSE)</f>
        <v>Men's</v>
      </c>
      <c r="F5" s="16" t="e">
        <f>#REF!/9.6</f>
        <v>#REF!</v>
      </c>
    </row>
    <row r="6" spans="1:6" x14ac:dyDescent="0.35">
      <c r="A6" s="1">
        <v>3</v>
      </c>
      <c r="B6">
        <v>3</v>
      </c>
      <c r="C6" s="16">
        <v>0.13800925925925925</v>
      </c>
      <c r="D6" s="1" t="str">
        <f>VLOOKUP(B6,Registration!$B$3:$C$77,2,FALSE)</f>
        <v>Men's</v>
      </c>
      <c r="F6" s="16" t="e">
        <f>#REF!/9.6</f>
        <v>#REF!</v>
      </c>
    </row>
    <row r="7" spans="1:6" x14ac:dyDescent="0.35">
      <c r="A7" s="1">
        <v>4</v>
      </c>
      <c r="B7">
        <v>9</v>
      </c>
      <c r="C7" s="16">
        <v>0.13905092592592591</v>
      </c>
      <c r="D7" s="1" t="str">
        <f>VLOOKUP(B7,Registration!$B$3:$C$77,2,FALSE)</f>
        <v>Men's</v>
      </c>
      <c r="F7" s="16" t="e">
        <f>#REF!/9.6</f>
        <v>#REF!</v>
      </c>
    </row>
    <row r="8" spans="1:6" x14ac:dyDescent="0.35">
      <c r="A8" s="1">
        <v>5</v>
      </c>
      <c r="B8">
        <v>73</v>
      </c>
      <c r="C8" s="16">
        <v>0.14378472222222222</v>
      </c>
      <c r="D8" s="1" t="str">
        <f>VLOOKUP(B8,Registration!$B$3:$C$77,2,FALSE)</f>
        <v>HS-Boys</v>
      </c>
      <c r="F8" s="16" t="e">
        <f>#REF!/9.6</f>
        <v>#REF!</v>
      </c>
    </row>
    <row r="9" spans="1:6" x14ac:dyDescent="0.35">
      <c r="A9" s="1">
        <v>6</v>
      </c>
      <c r="B9">
        <v>10</v>
      </c>
      <c r="C9" s="16">
        <v>1.1965277777777776</v>
      </c>
      <c r="D9" s="1" t="str">
        <f>VLOOKUP(B9,Registration!$B$3:$C$77,2,FALSE)</f>
        <v>Men40+</v>
      </c>
      <c r="F9" s="16" t="e">
        <f>#REF!/9.6</f>
        <v>#REF!</v>
      </c>
    </row>
    <row r="10" spans="1:6" x14ac:dyDescent="0.35">
      <c r="A10" s="1">
        <v>7</v>
      </c>
      <c r="B10">
        <v>18</v>
      </c>
      <c r="C10" s="16">
        <v>0.14891203703703704</v>
      </c>
      <c r="D10" s="1" t="str">
        <f>VLOOKUP(B10,Registration!$B$3:$C$77,2,FALSE)</f>
        <v>Mixed</v>
      </c>
      <c r="F10" s="16" t="e">
        <f>#REF!/9.6</f>
        <v>#REF!</v>
      </c>
    </row>
    <row r="11" spans="1:6" x14ac:dyDescent="0.35">
      <c r="A11" s="1">
        <v>8</v>
      </c>
      <c r="B11">
        <v>6</v>
      </c>
      <c r="C11" s="16">
        <v>0.15026620370370369</v>
      </c>
      <c r="D11" s="1" t="str">
        <f>VLOOKUP(B11,Registration!$B$3:$C$77,2,FALSE)</f>
        <v>Men's</v>
      </c>
      <c r="F11" s="16" t="e">
        <f>#REF!/9.6</f>
        <v>#REF!</v>
      </c>
    </row>
    <row r="12" spans="1:6" x14ac:dyDescent="0.35">
      <c r="A12" s="1">
        <v>9</v>
      </c>
      <c r="B12">
        <v>16</v>
      </c>
      <c r="C12" s="16">
        <v>0.1575462962962963</v>
      </c>
      <c r="D12" s="1" t="str">
        <f>VLOOKUP(B12,Registration!$B$3:$C$77,2,FALSE)</f>
        <v>Womens</v>
      </c>
      <c r="F12" s="16" t="e">
        <f>#REF!/9.6</f>
        <v>#REF!</v>
      </c>
    </row>
    <row r="13" spans="1:6" x14ac:dyDescent="0.35">
      <c r="A13" s="1">
        <v>10</v>
      </c>
      <c r="B13">
        <v>21</v>
      </c>
      <c r="C13" s="16">
        <v>0.15990740740740741</v>
      </c>
      <c r="D13" s="1" t="str">
        <f>VLOOKUP(B13,Registration!$B$3:$C$77,2,FALSE)</f>
        <v>Womens</v>
      </c>
      <c r="F13" s="16" t="e">
        <f>#REF!/9.6</f>
        <v>#REF!</v>
      </c>
    </row>
    <row r="14" spans="1:6" x14ac:dyDescent="0.35">
      <c r="A14" s="1">
        <v>11</v>
      </c>
      <c r="B14">
        <v>42</v>
      </c>
      <c r="C14" s="16">
        <v>0.16041666666666668</v>
      </c>
      <c r="D14" s="1" t="str">
        <f>VLOOKUP(B14,Registration!$B$3:$C$77,2,FALSE)</f>
        <v>Mixed</v>
      </c>
      <c r="F14" s="16" t="e">
        <f>#REF!/9.6</f>
        <v>#REF!</v>
      </c>
    </row>
    <row r="15" spans="1:6" x14ac:dyDescent="0.35">
      <c r="A15" s="1">
        <v>12</v>
      </c>
      <c r="B15">
        <v>70</v>
      </c>
      <c r="C15" s="16">
        <v>0.16187499999999999</v>
      </c>
      <c r="D15" s="1" t="str">
        <f>VLOOKUP(B15,Registration!$B$3:$C$77,2,FALSE)</f>
        <v>HS-Boys</v>
      </c>
      <c r="F15" s="16" t="e">
        <f>#REF!/9.6</f>
        <v>#REF!</v>
      </c>
    </row>
    <row r="16" spans="1:6" x14ac:dyDescent="0.35">
      <c r="A16" s="1">
        <v>13</v>
      </c>
      <c r="B16">
        <v>71</v>
      </c>
      <c r="C16" s="16">
        <v>0.16231481481481483</v>
      </c>
      <c r="D16" s="1" t="str">
        <f>VLOOKUP(B16,Registration!$B$3:$C$77,2,FALSE)</f>
        <v>HS-Boys</v>
      </c>
      <c r="F16" s="16" t="e">
        <f>#REF!/9.6</f>
        <v>#REF!</v>
      </c>
    </row>
    <row r="17" spans="1:6" x14ac:dyDescent="0.35">
      <c r="A17" s="1">
        <v>14</v>
      </c>
      <c r="B17">
        <v>50</v>
      </c>
      <c r="C17" s="16">
        <v>0.16291666666666668</v>
      </c>
      <c r="D17" s="1" t="str">
        <f>VLOOKUP(B17,Registration!$B$3:$C$77,2,FALSE)</f>
        <v>Mixed</v>
      </c>
      <c r="F17" s="16" t="e">
        <f>#REF!/9.6</f>
        <v>#REF!</v>
      </c>
    </row>
    <row r="18" spans="1:6" x14ac:dyDescent="0.35">
      <c r="A18" s="1">
        <v>15</v>
      </c>
      <c r="B18">
        <v>26</v>
      </c>
      <c r="C18" s="16">
        <v>0.16376157407407407</v>
      </c>
      <c r="D18" s="1" t="str">
        <f>VLOOKUP(B18,Registration!$B$3:$C$77,2,FALSE)</f>
        <v>Mixed</v>
      </c>
      <c r="F18" s="16" t="e">
        <f>#REF!/9.6</f>
        <v>#REF!</v>
      </c>
    </row>
    <row r="19" spans="1:6" x14ac:dyDescent="0.35">
      <c r="A19" s="1">
        <v>16</v>
      </c>
      <c r="B19">
        <v>37</v>
      </c>
      <c r="C19" s="16">
        <v>0.16746527777777778</v>
      </c>
      <c r="D19" s="1" t="str">
        <f>VLOOKUP(B19,Registration!$B$3:$C$77,2,FALSE)</f>
        <v>Mixed</v>
      </c>
      <c r="F19" s="16" t="e">
        <f>#REF!/9.6</f>
        <v>#REF!</v>
      </c>
    </row>
    <row r="20" spans="1:6" x14ac:dyDescent="0.35">
      <c r="A20" s="1">
        <v>17</v>
      </c>
      <c r="B20">
        <v>22</v>
      </c>
      <c r="C20" s="16">
        <v>0.16841435185185186</v>
      </c>
      <c r="D20" s="1" t="str">
        <f>VLOOKUP(B20,Registration!$B$3:$C$77,2,FALSE)</f>
        <v>Wmn 40+</v>
      </c>
      <c r="F20" s="16" t="e">
        <f>#REF!/9.6</f>
        <v>#REF!</v>
      </c>
    </row>
    <row r="21" spans="1:6" x14ac:dyDescent="0.35">
      <c r="A21" s="1">
        <v>18</v>
      </c>
      <c r="B21">
        <v>38</v>
      </c>
      <c r="C21" s="16">
        <v>0.16846064814814812</v>
      </c>
      <c r="D21" s="1" t="str">
        <f>VLOOKUP(B21,Registration!$B$3:$C$77,2,FALSE)</f>
        <v>Mixed</v>
      </c>
      <c r="F21" s="16" t="e">
        <f>#REF!/9.6</f>
        <v>#REF!</v>
      </c>
    </row>
    <row r="22" spans="1:6" x14ac:dyDescent="0.35">
      <c r="A22" s="1">
        <v>19</v>
      </c>
      <c r="B22">
        <v>52</v>
      </c>
      <c r="C22" s="16">
        <v>0.16957175925925927</v>
      </c>
      <c r="D22" s="1" t="str">
        <f>VLOOKUP(B22,Registration!$B$3:$C$77,2,FALSE)</f>
        <v>Men's</v>
      </c>
      <c r="F22" s="16" t="e">
        <f>#REF!/9.6</f>
        <v>#REF!</v>
      </c>
    </row>
    <row r="23" spans="1:6" x14ac:dyDescent="0.35">
      <c r="A23" s="1">
        <v>20</v>
      </c>
      <c r="B23">
        <v>60</v>
      </c>
      <c r="C23" s="16">
        <v>0.1696412037037037</v>
      </c>
      <c r="D23" s="1" t="str">
        <f>VLOOKUP(B23,Registration!$B$3:$C$77,2,FALSE)</f>
        <v>Corp</v>
      </c>
      <c r="F23" s="16" t="e">
        <f>#REF!/9.6</f>
        <v>#REF!</v>
      </c>
    </row>
    <row r="24" spans="1:6" x14ac:dyDescent="0.35">
      <c r="A24" s="1">
        <v>21</v>
      </c>
      <c r="B24">
        <v>55</v>
      </c>
      <c r="C24" s="16">
        <v>0.16979166666666667</v>
      </c>
      <c r="D24" s="1" t="str">
        <f>VLOOKUP(B24,Registration!$B$3:$C$77,2,FALSE)</f>
        <v>Mixed40+</v>
      </c>
      <c r="F24" s="16" t="e">
        <f>#REF!/9.6</f>
        <v>#REF!</v>
      </c>
    </row>
    <row r="25" spans="1:6" x14ac:dyDescent="0.35">
      <c r="A25" s="1">
        <v>22</v>
      </c>
      <c r="B25">
        <v>43</v>
      </c>
      <c r="C25" s="16">
        <v>0.170625</v>
      </c>
      <c r="D25" s="1" t="str">
        <f>VLOOKUP(B25,Registration!$B$3:$C$77,2,FALSE)</f>
        <v>Mixed</v>
      </c>
      <c r="F25" s="16" t="e">
        <f>#REF!/9.6</f>
        <v>#REF!</v>
      </c>
    </row>
    <row r="26" spans="1:6" x14ac:dyDescent="0.35">
      <c r="A26" s="1">
        <v>23</v>
      </c>
      <c r="B26">
        <v>25</v>
      </c>
      <c r="C26" s="16">
        <v>0.17090277777777776</v>
      </c>
      <c r="D26" s="1" t="str">
        <f>VLOOKUP(B26,Registration!$B$3:$C$77,2,FALSE)</f>
        <v>Mixed</v>
      </c>
      <c r="F26" s="16" t="e">
        <f>#REF!/9.6</f>
        <v>#REF!</v>
      </c>
    </row>
    <row r="27" spans="1:6" x14ac:dyDescent="0.35">
      <c r="A27" s="1">
        <v>24</v>
      </c>
      <c r="B27">
        <v>72</v>
      </c>
      <c r="C27" s="16">
        <v>0.1732060185185185</v>
      </c>
      <c r="D27" s="1" t="str">
        <f>VLOOKUP(B27,Registration!$B$3:$C$77,2,FALSE)</f>
        <v>HS-Boys</v>
      </c>
      <c r="F27" s="16" t="e">
        <f>#REF!/9.6</f>
        <v>#REF!</v>
      </c>
    </row>
    <row r="28" spans="1:6" x14ac:dyDescent="0.35">
      <c r="A28" s="1">
        <v>25</v>
      </c>
      <c r="B28">
        <v>51</v>
      </c>
      <c r="C28" s="16">
        <v>0.17391203703703703</v>
      </c>
      <c r="D28" s="1" t="str">
        <f>VLOOKUP(B28,Registration!$B$3:$C$77,2,FALSE)</f>
        <v>Mixed</v>
      </c>
      <c r="F28" s="16" t="e">
        <f>#REF!/9.6</f>
        <v>#REF!</v>
      </c>
    </row>
    <row r="29" spans="1:6" x14ac:dyDescent="0.35">
      <c r="A29" s="1">
        <v>26</v>
      </c>
      <c r="B29">
        <v>24</v>
      </c>
      <c r="C29" s="16">
        <v>0.17459490740740743</v>
      </c>
      <c r="D29" s="1" t="str">
        <f>VLOOKUP(B29,Registration!$B$3:$C$77,2,FALSE)</f>
        <v>Mixed</v>
      </c>
      <c r="F29" s="16" t="e">
        <f>#REF!/9.6</f>
        <v>#REF!</v>
      </c>
    </row>
    <row r="30" spans="1:6" x14ac:dyDescent="0.35">
      <c r="A30" s="1">
        <v>27</v>
      </c>
      <c r="B30">
        <v>63</v>
      </c>
      <c r="C30" s="16">
        <v>0.17857638888888891</v>
      </c>
      <c r="D30" s="1" t="str">
        <f>VLOOKUP(B30,Registration!$B$3:$C$77,2,FALSE)</f>
        <v>Corp</v>
      </c>
      <c r="F30" s="16" t="e">
        <f>#REF!/9.6</f>
        <v>#REF!</v>
      </c>
    </row>
    <row r="31" spans="1:6" x14ac:dyDescent="0.35">
      <c r="A31" s="1">
        <v>28</v>
      </c>
      <c r="B31">
        <v>35</v>
      </c>
      <c r="C31" s="16">
        <v>0.18027777777777779</v>
      </c>
      <c r="D31" s="1" t="str">
        <f>VLOOKUP(B31,Registration!$B$3:$C$77,2,FALSE)</f>
        <v>Mixed</v>
      </c>
      <c r="F31" s="16" t="e">
        <f>#REF!/9.6</f>
        <v>#REF!</v>
      </c>
    </row>
    <row r="32" spans="1:6" x14ac:dyDescent="0.35">
      <c r="A32" s="1">
        <v>29</v>
      </c>
      <c r="B32">
        <v>12</v>
      </c>
      <c r="C32" s="16">
        <v>0.18269675925925924</v>
      </c>
      <c r="D32" s="1" t="str">
        <f>VLOOKUP(B32,Registration!$B$3:$C$77,2,FALSE)</f>
        <v>Men50+</v>
      </c>
      <c r="F32" s="16" t="e">
        <f>#REF!/9.6</f>
        <v>#REF!</v>
      </c>
    </row>
    <row r="33" spans="1:6" x14ac:dyDescent="0.35">
      <c r="A33" s="1">
        <v>30</v>
      </c>
      <c r="B33">
        <v>65</v>
      </c>
      <c r="C33" s="16">
        <v>0.18322916666666667</v>
      </c>
      <c r="D33" s="1" t="str">
        <f>VLOOKUP(B33,Registration!$B$3:$C$77,2,FALSE)</f>
        <v>Corp</v>
      </c>
      <c r="F33" s="16" t="e">
        <f>#REF!/9.6</f>
        <v>#REF!</v>
      </c>
    </row>
    <row r="34" spans="1:6" x14ac:dyDescent="0.35">
      <c r="A34" s="1">
        <v>31</v>
      </c>
      <c r="B34">
        <v>11</v>
      </c>
      <c r="C34" s="16">
        <v>0.18417824074074074</v>
      </c>
      <c r="D34" s="1" t="str">
        <f>VLOOKUP(B34,Registration!$B$3:$C$77,2,FALSE)</f>
        <v>Men50+</v>
      </c>
      <c r="F34" s="16" t="e">
        <f>#REF!/9.6</f>
        <v>#REF!</v>
      </c>
    </row>
    <row r="35" spans="1:6" x14ac:dyDescent="0.35">
      <c r="A35" s="1">
        <v>32</v>
      </c>
      <c r="B35">
        <v>36</v>
      </c>
      <c r="C35" s="16">
        <v>0.18557870370370369</v>
      </c>
      <c r="D35" s="1" t="str">
        <f>VLOOKUP(B35,Registration!$B$3:$C$77,2,FALSE)</f>
        <v>Mixed</v>
      </c>
      <c r="F35" s="16" t="e">
        <f>#REF!/9.6</f>
        <v>#REF!</v>
      </c>
    </row>
    <row r="36" spans="1:6" x14ac:dyDescent="0.35">
      <c r="A36" s="1">
        <v>33</v>
      </c>
      <c r="B36">
        <v>13</v>
      </c>
      <c r="C36" s="16">
        <v>0.18565972222222224</v>
      </c>
      <c r="D36" s="1" t="str">
        <f>VLOOKUP(B36,Registration!$B$3:$C$77,2,FALSE)</f>
        <v>Ultra</v>
      </c>
      <c r="F36" s="16" t="e">
        <f>#REF!/9.6</f>
        <v>#REF!</v>
      </c>
    </row>
    <row r="37" spans="1:6" x14ac:dyDescent="0.35">
      <c r="A37" s="1">
        <v>34</v>
      </c>
      <c r="B37">
        <v>31</v>
      </c>
      <c r="C37" s="16">
        <v>0.18873842592592593</v>
      </c>
      <c r="D37" s="1" t="str">
        <f>VLOOKUP(B37,Registration!$B$3:$C$77,2,FALSE)</f>
        <v>Mixed</v>
      </c>
      <c r="F37" s="16" t="e">
        <f>#REF!/9.6</f>
        <v>#REF!</v>
      </c>
    </row>
    <row r="38" spans="1:6" x14ac:dyDescent="0.35">
      <c r="A38" s="1">
        <v>35</v>
      </c>
      <c r="B38">
        <v>30</v>
      </c>
      <c r="C38" s="16">
        <v>0.19011574074074075</v>
      </c>
      <c r="D38" s="1" t="str">
        <f>VLOOKUP(B38,Registration!$B$3:$C$77,2,FALSE)</f>
        <v>Mixed</v>
      </c>
      <c r="F38" s="16" t="e">
        <f>#REF!/9.6</f>
        <v>#REF!</v>
      </c>
    </row>
    <row r="39" spans="1:6" x14ac:dyDescent="0.35">
      <c r="A39" s="1">
        <v>36</v>
      </c>
      <c r="B39">
        <v>32</v>
      </c>
      <c r="C39" s="16">
        <v>0.19012731481481482</v>
      </c>
      <c r="D39" s="1" t="str">
        <f>VLOOKUP(B39,Registration!$B$3:$C$77,2,FALSE)</f>
        <v>Mixed</v>
      </c>
      <c r="F39" s="16" t="e">
        <f>#REF!/9.6</f>
        <v>#REF!</v>
      </c>
    </row>
    <row r="40" spans="1:6" x14ac:dyDescent="0.35">
      <c r="A40" s="1">
        <v>37</v>
      </c>
      <c r="B40">
        <v>34</v>
      </c>
      <c r="C40" s="16">
        <v>0.19055555555555556</v>
      </c>
      <c r="D40" s="1" t="str">
        <f>VLOOKUP(B40,Registration!$B$3:$C$77,2,FALSE)</f>
        <v>Mixed</v>
      </c>
      <c r="F40" s="16" t="e">
        <f>#REF!/9.6</f>
        <v>#REF!</v>
      </c>
    </row>
    <row r="41" spans="1:6" x14ac:dyDescent="0.35">
      <c r="A41" s="1">
        <v>38</v>
      </c>
      <c r="B41">
        <v>19</v>
      </c>
      <c r="C41" s="16">
        <v>0.19144675925925925</v>
      </c>
      <c r="D41" s="1" t="str">
        <f>VLOOKUP(B41,Registration!$B$3:$C$77,2,FALSE)</f>
        <v>Womens</v>
      </c>
      <c r="F41" s="16" t="e">
        <f>#REF!/9.6</f>
        <v>#REF!</v>
      </c>
    </row>
    <row r="42" spans="1:6" x14ac:dyDescent="0.35">
      <c r="A42" s="1">
        <v>39</v>
      </c>
      <c r="B42">
        <v>62</v>
      </c>
      <c r="C42" s="16">
        <v>0.19342592592592592</v>
      </c>
      <c r="D42" s="1" t="str">
        <f>VLOOKUP(B42,Registration!$B$3:$C$77,2,FALSE)</f>
        <v>Corp</v>
      </c>
      <c r="F42" s="16" t="e">
        <f>#REF!/9.6</f>
        <v>#REF!</v>
      </c>
    </row>
    <row r="43" spans="1:6" x14ac:dyDescent="0.35">
      <c r="A43" s="1">
        <v>40</v>
      </c>
      <c r="B43">
        <v>39</v>
      </c>
      <c r="C43" s="16">
        <v>0.19451388888888888</v>
      </c>
      <c r="D43" s="1" t="str">
        <f>VLOOKUP(B43,Registration!$B$3:$C$77,2,FALSE)</f>
        <v>Mixed</v>
      </c>
      <c r="F43" s="16" t="e">
        <f>#REF!/9.6</f>
        <v>#REF!</v>
      </c>
    </row>
    <row r="44" spans="1:6" x14ac:dyDescent="0.35">
      <c r="A44" s="1">
        <v>41</v>
      </c>
      <c r="B44">
        <v>28</v>
      </c>
      <c r="C44" s="16">
        <v>0.19556712962962963</v>
      </c>
      <c r="D44" s="1" t="str">
        <f>VLOOKUP(B44,Registration!$B$3:$C$77,2,FALSE)</f>
        <v>Mixed</v>
      </c>
      <c r="F44" s="16" t="e">
        <f>#REF!/9.6</f>
        <v>#REF!</v>
      </c>
    </row>
    <row r="45" spans="1:6" x14ac:dyDescent="0.35">
      <c r="A45" s="1">
        <v>42</v>
      </c>
      <c r="B45">
        <v>27</v>
      </c>
      <c r="C45" s="16">
        <v>0.19560185185185186</v>
      </c>
      <c r="D45" s="1" t="str">
        <f>VLOOKUP(B45,Registration!$B$3:$C$77,2,FALSE)</f>
        <v>Mixed</v>
      </c>
      <c r="F45" s="16" t="e">
        <f>#REF!/9.6</f>
        <v>#REF!</v>
      </c>
    </row>
    <row r="46" spans="1:6" x14ac:dyDescent="0.35">
      <c r="A46" s="1">
        <v>43</v>
      </c>
      <c r="B46">
        <v>66</v>
      </c>
      <c r="C46" s="16">
        <v>0.19567129629629632</v>
      </c>
      <c r="D46" s="1" t="str">
        <f>VLOOKUP(B46,Registration!$B$3:$C$77,2,FALSE)</f>
        <v>Corp</v>
      </c>
      <c r="F46" s="16" t="e">
        <f>#REF!/9.6</f>
        <v>#REF!</v>
      </c>
    </row>
    <row r="47" spans="1:6" x14ac:dyDescent="0.35">
      <c r="A47" s="1">
        <v>44</v>
      </c>
      <c r="B47">
        <v>58</v>
      </c>
      <c r="C47" s="16">
        <v>0.19575231481481481</v>
      </c>
      <c r="D47" s="1" t="str">
        <f>VLOOKUP(B47,Registration!$B$3:$C$77,2,FALSE)</f>
        <v>Mixed40+</v>
      </c>
      <c r="F47" s="16" t="e">
        <f>#REF!/9.6</f>
        <v>#REF!</v>
      </c>
    </row>
    <row r="48" spans="1:6" x14ac:dyDescent="0.35">
      <c r="A48" s="1">
        <v>45</v>
      </c>
      <c r="B48">
        <v>67</v>
      </c>
      <c r="C48" s="16">
        <v>0.19793981481481482</v>
      </c>
      <c r="D48" s="1" t="str">
        <f>VLOOKUP(B48,Registration!$B$3:$C$77,2,FALSE)</f>
        <v>Corp</v>
      </c>
      <c r="F48" s="16" t="e">
        <f>#REF!/9.6</f>
        <v>#REF!</v>
      </c>
    </row>
    <row r="49" spans="1:6" x14ac:dyDescent="0.35">
      <c r="A49" s="1">
        <v>46</v>
      </c>
      <c r="B49">
        <v>59</v>
      </c>
      <c r="C49" s="16">
        <v>0.19817129629629629</v>
      </c>
      <c r="D49" s="1" t="str">
        <f>VLOOKUP(B49,Registration!$B$3:$C$77,2,FALSE)</f>
        <v>Corp</v>
      </c>
      <c r="F49" s="16" t="e">
        <f>#REF!/9.6</f>
        <v>#REF!</v>
      </c>
    </row>
    <row r="50" spans="1:6" x14ac:dyDescent="0.35">
      <c r="A50" s="1">
        <v>47</v>
      </c>
      <c r="B50">
        <v>45</v>
      </c>
      <c r="C50" s="16">
        <v>0.19885416666666667</v>
      </c>
      <c r="D50" s="1" t="str">
        <f>VLOOKUP(B50,Registration!$B$3:$C$77,2,FALSE)</f>
        <v>Mixed</v>
      </c>
      <c r="F50" s="16" t="e">
        <f>#REF!/9.6</f>
        <v>#REF!</v>
      </c>
    </row>
    <row r="51" spans="1:6" x14ac:dyDescent="0.35">
      <c r="A51" s="1">
        <v>48</v>
      </c>
      <c r="B51">
        <v>57</v>
      </c>
      <c r="C51" s="16">
        <v>0.20033564814814817</v>
      </c>
      <c r="D51" s="1" t="str">
        <f>VLOOKUP(B51,Registration!$B$3:$C$77,2,FALSE)</f>
        <v>Mixed40+</v>
      </c>
      <c r="F51" s="16" t="e">
        <f>#REF!/9.6</f>
        <v>#REF!</v>
      </c>
    </row>
    <row r="52" spans="1:6" x14ac:dyDescent="0.35">
      <c r="A52" s="1">
        <v>49</v>
      </c>
      <c r="B52">
        <v>64</v>
      </c>
      <c r="C52" s="16">
        <v>0.20125000000000001</v>
      </c>
      <c r="D52" s="1" t="str">
        <f>VLOOKUP(B52,Registration!$B$3:$C$77,2,FALSE)</f>
        <v>Corp</v>
      </c>
      <c r="F52" s="16" t="e">
        <f>#REF!/9.6</f>
        <v>#REF!</v>
      </c>
    </row>
    <row r="53" spans="1:6" x14ac:dyDescent="0.35">
      <c r="A53" s="1">
        <v>50</v>
      </c>
      <c r="B53">
        <v>29</v>
      </c>
      <c r="C53" s="16">
        <v>0.20152777777777778</v>
      </c>
      <c r="D53" s="1" t="str">
        <f>VLOOKUP(B53,Registration!$B$3:$C$77,2,FALSE)</f>
        <v>Mixed</v>
      </c>
      <c r="F53" s="16" t="e">
        <f>#REF!/9.6</f>
        <v>#REF!</v>
      </c>
    </row>
    <row r="54" spans="1:6" x14ac:dyDescent="0.35">
      <c r="A54" s="1">
        <v>51</v>
      </c>
      <c r="B54">
        <v>49</v>
      </c>
      <c r="C54" s="16">
        <v>0.2017939814814815</v>
      </c>
      <c r="D54" s="1" t="str">
        <f>VLOOKUP(B54,Registration!$B$3:$C$77,2,FALSE)</f>
        <v>Mixed</v>
      </c>
      <c r="F54" s="16" t="e">
        <f>#REF!/9.6</f>
        <v>#REF!</v>
      </c>
    </row>
    <row r="55" spans="1:6" x14ac:dyDescent="0.35">
      <c r="A55" s="1">
        <v>52</v>
      </c>
      <c r="B55">
        <v>42</v>
      </c>
      <c r="C55" s="16">
        <v>0.20208333333333331</v>
      </c>
      <c r="D55" s="1" t="str">
        <f>VLOOKUP(B55,Registration!$B$3:$C$77,2,FALSE)</f>
        <v>Mixed</v>
      </c>
      <c r="F55" s="16" t="e">
        <f>#REF!/9.6</f>
        <v>#REF!</v>
      </c>
    </row>
    <row r="56" spans="1:6" x14ac:dyDescent="0.35">
      <c r="A56" s="1">
        <v>53</v>
      </c>
      <c r="B56">
        <v>47</v>
      </c>
      <c r="C56" s="16">
        <v>0.20575231481481482</v>
      </c>
      <c r="D56" s="1" t="str">
        <f>VLOOKUP(B56,Registration!$B$3:$C$77,2,FALSE)</f>
        <v>Mixed</v>
      </c>
      <c r="F56" s="16" t="e">
        <f>#REF!/9.6</f>
        <v>#REF!</v>
      </c>
    </row>
    <row r="57" spans="1:6" x14ac:dyDescent="0.35">
      <c r="A57" s="1">
        <v>54</v>
      </c>
      <c r="B57">
        <v>61</v>
      </c>
      <c r="C57" s="16">
        <v>0.20709490740740741</v>
      </c>
      <c r="D57" s="1" t="str">
        <f>VLOOKUP(B57,Registration!$B$3:$C$77,2,FALSE)</f>
        <v>Corp</v>
      </c>
      <c r="F57" s="16" t="e">
        <f>#REF!/9.6</f>
        <v>#REF!</v>
      </c>
    </row>
    <row r="58" spans="1:6" x14ac:dyDescent="0.35">
      <c r="A58" s="1">
        <v>55</v>
      </c>
      <c r="B58">
        <v>17</v>
      </c>
      <c r="C58" s="16">
        <v>0.20762731481481481</v>
      </c>
      <c r="D58" s="1" t="str">
        <f>VLOOKUP(B58,Registration!$B$3:$C$77,2,FALSE)</f>
        <v>Womens</v>
      </c>
      <c r="F58" s="16" t="e">
        <f>#REF!/9.6</f>
        <v>#REF!</v>
      </c>
    </row>
    <row r="59" spans="1:6" x14ac:dyDescent="0.35">
      <c r="A59" s="1">
        <v>56</v>
      </c>
      <c r="B59">
        <v>23</v>
      </c>
      <c r="C59" s="16">
        <v>0.20942129629629627</v>
      </c>
      <c r="D59" s="1" t="str">
        <f>VLOOKUP(B59,Registration!$B$3:$C$77,2,FALSE)</f>
        <v>Mixed</v>
      </c>
      <c r="F59" s="16" t="e">
        <f>#REF!/9.6</f>
        <v>#REF!</v>
      </c>
    </row>
    <row r="60" spans="1:6" x14ac:dyDescent="0.35">
      <c r="A60" s="1">
        <v>57</v>
      </c>
      <c r="B60">
        <v>56</v>
      </c>
      <c r="C60" s="16">
        <v>0.21104166666666668</v>
      </c>
      <c r="D60" s="1" t="str">
        <f>VLOOKUP(B60,Registration!$B$3:$C$77,2,FALSE)</f>
        <v>Mixed40+</v>
      </c>
      <c r="F60" s="16" t="e">
        <f>#REF!/9.6</f>
        <v>#REF!</v>
      </c>
    </row>
    <row r="61" spans="1:6" x14ac:dyDescent="0.35">
      <c r="A61" s="1">
        <v>58</v>
      </c>
      <c r="B61">
        <v>7</v>
      </c>
      <c r="C61" s="16">
        <v>0.21635416666666665</v>
      </c>
      <c r="D61" s="1" t="str">
        <f>VLOOKUP(B61,Registration!$B$3:$C$77,2,FALSE)</f>
        <v>Men's</v>
      </c>
      <c r="F61" s="16" t="e">
        <f>#REF!/9.6</f>
        <v>#REF!</v>
      </c>
    </row>
    <row r="62" spans="1:6" x14ac:dyDescent="0.35">
      <c r="A62" s="1">
        <v>59</v>
      </c>
      <c r="B62">
        <v>14</v>
      </c>
      <c r="C62" s="16">
        <v>0.21888888888888888</v>
      </c>
      <c r="D62" s="1" t="str">
        <f>VLOOKUP(B62,Registration!$B$3:$C$77,2,FALSE)</f>
        <v>Womens</v>
      </c>
      <c r="F62" s="16" t="e">
        <f>#REF!/9.6</f>
        <v>#REF!</v>
      </c>
    </row>
    <row r="63" spans="1:6" x14ac:dyDescent="0.35">
      <c r="A63" s="1">
        <v>60</v>
      </c>
      <c r="B63">
        <v>5</v>
      </c>
      <c r="C63" s="16">
        <v>0.21969907407407407</v>
      </c>
      <c r="D63" s="1" t="str">
        <f>VLOOKUP(B63,Registration!$B$3:$C$77,2,FALSE)</f>
        <v>Men's</v>
      </c>
      <c r="F63" s="16" t="e">
        <f>#REF!/9.6</f>
        <v>#REF!</v>
      </c>
    </row>
    <row r="64" spans="1:6" x14ac:dyDescent="0.35">
      <c r="A64" s="1">
        <v>61</v>
      </c>
      <c r="B64">
        <v>48</v>
      </c>
      <c r="C64" s="16">
        <v>0.22287037037037039</v>
      </c>
      <c r="D64" s="1" t="str">
        <f>VLOOKUP(B64,Registration!$B$3:$C$77,2,FALSE)</f>
        <v>Mixed</v>
      </c>
      <c r="F64" s="16" t="e">
        <f>#REF!/9.6</f>
        <v>#REF!</v>
      </c>
    </row>
    <row r="65" spans="1:6" x14ac:dyDescent="0.35">
      <c r="A65" s="1">
        <v>62</v>
      </c>
      <c r="B65">
        <v>41</v>
      </c>
      <c r="C65" s="16">
        <v>0.22750000000000001</v>
      </c>
      <c r="D65" s="1" t="str">
        <f>VLOOKUP(B65,Registration!$B$3:$C$77,2,FALSE)</f>
        <v>Mixed</v>
      </c>
      <c r="F65" s="16" t="e">
        <f>#REF!/9.6</f>
        <v>#REF!</v>
      </c>
    </row>
    <row r="66" spans="1:6" x14ac:dyDescent="0.35">
      <c r="A66" s="1">
        <v>63</v>
      </c>
      <c r="B66">
        <v>46</v>
      </c>
      <c r="C66" s="16">
        <v>0.22792824074074072</v>
      </c>
      <c r="D66" s="1" t="str">
        <f>VLOOKUP(B66,Registration!$B$3:$C$77,2,FALSE)</f>
        <v>Mixed</v>
      </c>
      <c r="F66" s="16" t="e">
        <f>#REF!/9.6</f>
        <v>#REF!</v>
      </c>
    </row>
    <row r="67" spans="1:6" x14ac:dyDescent="0.35">
      <c r="A67" s="1">
        <v>64</v>
      </c>
      <c r="B67">
        <v>40</v>
      </c>
      <c r="C67" s="16">
        <v>0.22989583333333333</v>
      </c>
      <c r="D67" s="1" t="str">
        <f>VLOOKUP(B67,Registration!$B$3:$C$77,2,FALSE)</f>
        <v>Mixed</v>
      </c>
      <c r="F67" s="16" t="e">
        <f>#REF!/9.6</f>
        <v>#REF!</v>
      </c>
    </row>
    <row r="68" spans="1:6" x14ac:dyDescent="0.35">
      <c r="A68" s="1">
        <v>65</v>
      </c>
      <c r="B68">
        <v>51</v>
      </c>
      <c r="C68" s="16">
        <v>0.23021990740740739</v>
      </c>
      <c r="D68" s="1" t="str">
        <f>VLOOKUP(B68,Registration!$B$3:$C$77,2,FALSE)</f>
        <v>Mixed</v>
      </c>
      <c r="F68" s="16" t="e">
        <f>#REF!/9.6</f>
        <v>#REF!</v>
      </c>
    </row>
    <row r="69" spans="1:6" x14ac:dyDescent="0.35">
      <c r="A69" s="1">
        <v>66</v>
      </c>
      <c r="B69">
        <v>68</v>
      </c>
      <c r="C69" s="16">
        <v>0.23575231481481482</v>
      </c>
      <c r="D69" s="1" t="str">
        <f>VLOOKUP(B69,Registration!$B$3:$C$77,2,FALSE)</f>
        <v>HS-Girls</v>
      </c>
      <c r="F69" s="16" t="e">
        <f>#REF!/9.6</f>
        <v>#REF!</v>
      </c>
    </row>
    <row r="70" spans="1:6" x14ac:dyDescent="0.35">
      <c r="A70" s="1">
        <v>67</v>
      </c>
      <c r="B70">
        <v>67</v>
      </c>
      <c r="C70" s="16">
        <v>0.23960648148148148</v>
      </c>
      <c r="D70" s="1" t="str">
        <f>VLOOKUP(B70,Registration!$B$3:$C$77,2,FALSE)</f>
        <v>Corp</v>
      </c>
      <c r="F70" s="16" t="e">
        <f>#REF!/9.6</f>
        <v>#REF!</v>
      </c>
    </row>
    <row r="71" spans="1:6" x14ac:dyDescent="0.35">
      <c r="A71" s="1">
        <v>68</v>
      </c>
      <c r="B71">
        <v>53</v>
      </c>
      <c r="C71" s="16">
        <v>0.25269675925925927</v>
      </c>
      <c r="D71" s="1" t="str">
        <f>VLOOKUP(B71,Registration!$B$3:$C$77,2,FALSE)</f>
        <v>Mixed40+</v>
      </c>
      <c r="F71" s="16" t="e">
        <f>#REF!/9.6</f>
        <v>#REF!</v>
      </c>
    </row>
    <row r="72" spans="1:6" x14ac:dyDescent="0.35">
      <c r="A72" s="1">
        <v>69</v>
      </c>
      <c r="D72" s="1" t="e">
        <f>VLOOKUP(B72,Registration!$B$3:$C$77,2,FALSE)</f>
        <v>#N/A</v>
      </c>
      <c r="F72" s="16" t="e">
        <f>#REF!/9.6</f>
        <v>#REF!</v>
      </c>
    </row>
    <row r="73" spans="1:6" x14ac:dyDescent="0.35">
      <c r="A73" s="1">
        <v>70</v>
      </c>
      <c r="D73" s="1" t="e">
        <f>VLOOKUP(B73,Registration!$B$3:$C$77,2,FALSE)</f>
        <v>#N/A</v>
      </c>
      <c r="F73" s="16" t="e">
        <f>#REF!/9.6</f>
        <v>#REF!</v>
      </c>
    </row>
    <row r="74" spans="1:6" x14ac:dyDescent="0.35">
      <c r="A74" s="1">
        <v>71</v>
      </c>
      <c r="D74" s="1" t="e">
        <f>VLOOKUP(B74,Registration!$B$3:$C$77,2,FALSE)</f>
        <v>#N/A</v>
      </c>
      <c r="F74" s="16" t="e">
        <f>#REF!/9.6</f>
        <v>#REF!</v>
      </c>
    </row>
    <row r="75" spans="1:6" x14ac:dyDescent="0.35">
      <c r="A75" s="1">
        <v>72</v>
      </c>
      <c r="D75" s="1" t="e">
        <f>VLOOKUP(B75,Registration!$B$3:$C$77,2,FALSE)</f>
        <v>#N/A</v>
      </c>
      <c r="F75" s="16" t="e">
        <f>#REF!/9.6</f>
        <v>#REF!</v>
      </c>
    </row>
    <row r="76" spans="1:6" x14ac:dyDescent="0.35">
      <c r="A76" s="1">
        <v>73</v>
      </c>
      <c r="D76" s="1" t="e">
        <f>VLOOKUP(B76,Registration!$B$3:$C$77,2,FALSE)</f>
        <v>#N/A</v>
      </c>
      <c r="F76" s="16" t="e">
        <f>#REF!/9.6</f>
        <v>#REF!</v>
      </c>
    </row>
    <row r="77" spans="1:6" x14ac:dyDescent="0.35">
      <c r="A77" s="1">
        <v>74</v>
      </c>
      <c r="D77" s="1" t="e">
        <f>VLOOKUP(B77,Registration!$B$3:$C$77,2,FALSE)</f>
        <v>#N/A</v>
      </c>
      <c r="F77" s="16" t="e">
        <f>#REF!/9.6</f>
        <v>#REF!</v>
      </c>
    </row>
  </sheetData>
  <sortState ref="P4:V71">
    <sortCondition ref="Q4:Q7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7"/>
  <sheetViews>
    <sheetView workbookViewId="0">
      <selection activeCell="G2" sqref="G2"/>
    </sheetView>
  </sheetViews>
  <sheetFormatPr defaultColWidth="8.81640625" defaultRowHeight="14.5" x14ac:dyDescent="0.35"/>
  <cols>
    <col min="1" max="2" width="6.81640625" style="1" customWidth="1"/>
    <col min="3" max="3" width="9.36328125" style="27" customWidth="1"/>
    <col min="4" max="4" width="8.453125" style="27" customWidth="1"/>
    <col min="5" max="5" width="6.81640625" style="1" customWidth="1"/>
    <col min="7" max="7" width="11" customWidth="1"/>
    <col min="10" max="10" width="6" customWidth="1"/>
    <col min="11" max="11" width="7.36328125" customWidth="1"/>
  </cols>
  <sheetData>
    <row r="1" spans="1:15" ht="18.5" x14ac:dyDescent="0.45">
      <c r="A1" s="17" t="s">
        <v>12</v>
      </c>
      <c r="B1" s="19" t="s">
        <v>3</v>
      </c>
      <c r="C1" s="26"/>
      <c r="D1" s="26"/>
      <c r="E1" s="19"/>
      <c r="F1" s="5"/>
      <c r="J1" s="17" t="s">
        <v>12</v>
      </c>
      <c r="K1" s="31" t="s">
        <v>3</v>
      </c>
      <c r="L1" s="26"/>
      <c r="M1" s="26"/>
      <c r="N1" s="31"/>
    </row>
    <row r="2" spans="1:15" ht="18.5" x14ac:dyDescent="0.45">
      <c r="B2" s="19"/>
      <c r="C2" s="26"/>
      <c r="D2" s="26"/>
      <c r="E2" s="19"/>
      <c r="F2" s="5"/>
      <c r="G2" s="34" t="s">
        <v>19</v>
      </c>
      <c r="J2" s="1"/>
      <c r="K2" s="31"/>
      <c r="L2" s="26"/>
      <c r="M2" s="26"/>
      <c r="N2" s="31"/>
      <c r="O2" s="34" t="s">
        <v>19</v>
      </c>
    </row>
    <row r="3" spans="1:15" ht="15.5" x14ac:dyDescent="0.35">
      <c r="A3" s="13" t="s">
        <v>16</v>
      </c>
      <c r="B3" s="6" t="s">
        <v>5</v>
      </c>
      <c r="C3" s="20" t="s">
        <v>15</v>
      </c>
      <c r="D3" s="20" t="s">
        <v>2</v>
      </c>
      <c r="E3" s="6" t="s">
        <v>0</v>
      </c>
      <c r="F3" s="9" t="s">
        <v>1</v>
      </c>
      <c r="G3" s="21" t="s">
        <v>17</v>
      </c>
      <c r="J3" s="13" t="s">
        <v>16</v>
      </c>
      <c r="K3" s="6" t="s">
        <v>5</v>
      </c>
      <c r="L3" s="20" t="s">
        <v>15</v>
      </c>
      <c r="M3" s="20" t="s">
        <v>2</v>
      </c>
      <c r="N3" s="6" t="s">
        <v>0</v>
      </c>
      <c r="O3" s="21" t="s">
        <v>17</v>
      </c>
    </row>
    <row r="4" spans="1:15" x14ac:dyDescent="0.35">
      <c r="A4" s="1">
        <v>1</v>
      </c>
      <c r="B4" s="1">
        <v>1</v>
      </c>
      <c r="C4" s="27">
        <v>0.16694444444444445</v>
      </c>
      <c r="D4" s="27">
        <f>C4-'Leg 3'!C4</f>
        <v>3.710648148148149E-2</v>
      </c>
      <c r="E4" s="1" t="str">
        <f>VLOOKUP(B4,Registration!$B$3:$C$77,2,FALSE)</f>
        <v>Men's</v>
      </c>
      <c r="F4" s="1"/>
      <c r="G4" s="16">
        <f>D4/9.5</f>
        <v>3.9059454191033146E-3</v>
      </c>
      <c r="J4" s="1">
        <v>1</v>
      </c>
      <c r="K4" s="1">
        <v>1</v>
      </c>
      <c r="L4" s="27">
        <v>0.16694444444444445</v>
      </c>
      <c r="M4" s="27">
        <f>L4-'Leg 3'!K4</f>
        <v>0.16694444444444445</v>
      </c>
      <c r="N4" s="1" t="str">
        <f>VLOOKUP(K4,Registration!$B$3:$C$77,2,FALSE)</f>
        <v>Men's</v>
      </c>
      <c r="O4" s="16">
        <f t="shared" ref="O4:O35" si="0">M4/9.5</f>
        <v>1.7573099415204678E-2</v>
      </c>
    </row>
    <row r="5" spans="1:15" x14ac:dyDescent="0.35">
      <c r="A5" s="1">
        <v>2</v>
      </c>
      <c r="B5" s="1">
        <v>8</v>
      </c>
      <c r="C5" s="27">
        <v>0.16864583333333336</v>
      </c>
      <c r="D5" s="27">
        <f>C5-'Leg 3'!C5</f>
        <v>3.7164351851851879E-2</v>
      </c>
      <c r="E5" s="1" t="str">
        <f>VLOOKUP(B5,Registration!$B$3:$C$77,2,FALSE)</f>
        <v>Men's</v>
      </c>
      <c r="F5" s="1"/>
      <c r="G5" s="16">
        <f t="shared" ref="G5:G69" si="1">D5/9.5</f>
        <v>3.9120370370370403E-3</v>
      </c>
      <c r="J5" s="1">
        <v>3</v>
      </c>
      <c r="K5" s="1">
        <v>3</v>
      </c>
      <c r="L5" s="27">
        <v>0.18074074074074076</v>
      </c>
      <c r="M5" s="27">
        <f>L5-'Leg 3'!K9</f>
        <v>0.18074074074074076</v>
      </c>
      <c r="N5" s="1" t="str">
        <f>VLOOKUP(K5,Registration!$B$3:$C$77,2,FALSE)</f>
        <v>Men's</v>
      </c>
      <c r="O5" s="16">
        <f t="shared" si="0"/>
        <v>1.9025341130604289E-2</v>
      </c>
    </row>
    <row r="6" spans="1:15" x14ac:dyDescent="0.35">
      <c r="A6" s="1">
        <v>3</v>
      </c>
      <c r="B6" s="1">
        <v>3</v>
      </c>
      <c r="C6" s="27">
        <v>0.18074074074074076</v>
      </c>
      <c r="D6" s="27">
        <f>C6-'Leg 3'!C9</f>
        <v>-1.015787037037037</v>
      </c>
      <c r="E6" s="1" t="str">
        <f>VLOOKUP(B6,Registration!$B$3:$C$77,2,FALSE)</f>
        <v>Men's</v>
      </c>
      <c r="F6" s="1"/>
      <c r="G6" s="16">
        <f t="shared" si="1"/>
        <v>-0.10692495126705652</v>
      </c>
      <c r="J6" s="1">
        <v>41</v>
      </c>
      <c r="K6" s="1">
        <v>4</v>
      </c>
      <c r="L6" s="27">
        <v>0.25039351851851849</v>
      </c>
      <c r="M6" s="27">
        <f>L6-'Leg 3'!K47</f>
        <v>0.25039351851851849</v>
      </c>
      <c r="N6" s="1" t="str">
        <f>VLOOKUP(K6,Registration!$B$3:$C$77,2,FALSE)</f>
        <v>Men's</v>
      </c>
      <c r="O6" s="16">
        <f t="shared" si="0"/>
        <v>2.6357212475633524E-2</v>
      </c>
    </row>
    <row r="7" spans="1:15" x14ac:dyDescent="0.35">
      <c r="A7" s="1">
        <v>4</v>
      </c>
      <c r="B7" s="1">
        <v>9</v>
      </c>
      <c r="C7" s="27">
        <v>0.1852546296296296</v>
      </c>
      <c r="D7" s="27">
        <f>C7-'Leg 3'!C7</f>
        <v>4.6203703703703691E-2</v>
      </c>
      <c r="E7" s="1" t="str">
        <f>VLOOKUP(B7,Registration!$B$3:$C$77,2,FALSE)</f>
        <v>Men's</v>
      </c>
      <c r="F7" s="1"/>
      <c r="G7" s="16">
        <f t="shared" si="1"/>
        <v>4.8635477582845994E-3</v>
      </c>
      <c r="J7" s="1">
        <v>61</v>
      </c>
      <c r="K7" s="1">
        <v>5</v>
      </c>
      <c r="L7" s="27">
        <v>0.29878472222222224</v>
      </c>
      <c r="M7" s="27">
        <f>L7-'Leg 3'!K65</f>
        <v>0.29878472222222224</v>
      </c>
      <c r="N7" s="1" t="str">
        <f>VLOOKUP(K7,Registration!$B$3:$C$77,2,FALSE)</f>
        <v>Men's</v>
      </c>
      <c r="O7" s="16">
        <f t="shared" si="0"/>
        <v>3.1451023391812868E-2</v>
      </c>
    </row>
    <row r="8" spans="1:15" x14ac:dyDescent="0.35">
      <c r="A8" s="1">
        <v>5</v>
      </c>
      <c r="B8" s="1">
        <v>73</v>
      </c>
      <c r="C8" s="27">
        <v>0.18550925925925923</v>
      </c>
      <c r="D8" s="27">
        <f>C8-'Leg 3'!C6</f>
        <v>4.7499999999999987E-2</v>
      </c>
      <c r="E8" s="1" t="str">
        <f>VLOOKUP(B8,Registration!$B$3:$C$77,2,FALSE)</f>
        <v>HS-Boys</v>
      </c>
      <c r="F8" s="1"/>
      <c r="G8" s="16">
        <f t="shared" si="1"/>
        <v>4.9999999999999984E-3</v>
      </c>
      <c r="J8" s="1">
        <v>8</v>
      </c>
      <c r="K8" s="1">
        <v>6</v>
      </c>
      <c r="L8" s="27">
        <v>0.2008912037037037</v>
      </c>
      <c r="M8" s="27">
        <f>L8-'Leg 3'!K11</f>
        <v>0.2008912037037037</v>
      </c>
      <c r="N8" s="1" t="str">
        <f>VLOOKUP(K8,Registration!$B$3:$C$77,2,FALSE)</f>
        <v>Men's</v>
      </c>
      <c r="O8" s="16">
        <f t="shared" si="0"/>
        <v>2.1146442495126705E-2</v>
      </c>
    </row>
    <row r="9" spans="1:15" x14ac:dyDescent="0.35">
      <c r="A9" s="1">
        <v>6</v>
      </c>
      <c r="B9" s="1">
        <v>10</v>
      </c>
      <c r="C9" s="27">
        <v>0.18888888888888888</v>
      </c>
      <c r="D9" s="27">
        <f>C9-'Leg 3'!C8</f>
        <v>4.5104166666666667E-2</v>
      </c>
      <c r="E9" s="1" t="str">
        <f>VLOOKUP(B9,Registration!$B$3:$C$77,2,FALSE)</f>
        <v>Men40+</v>
      </c>
      <c r="F9" s="1"/>
      <c r="G9" s="16">
        <f t="shared" si="1"/>
        <v>4.7478070175438593E-3</v>
      </c>
      <c r="J9" s="1">
        <v>57</v>
      </c>
      <c r="K9" s="1">
        <v>7</v>
      </c>
      <c r="L9" s="27">
        <v>0.2845138888888889</v>
      </c>
      <c r="M9" s="27">
        <f>L9-'Leg 3'!K62</f>
        <v>0.2845138888888889</v>
      </c>
      <c r="N9" s="1" t="str">
        <f>VLOOKUP(K9,Registration!$B$3:$C$77,2,FALSE)</f>
        <v>Men's</v>
      </c>
      <c r="O9" s="16">
        <f t="shared" si="0"/>
        <v>2.9948830409356725E-2</v>
      </c>
    </row>
    <row r="10" spans="1:15" x14ac:dyDescent="0.35">
      <c r="A10" s="1">
        <v>7</v>
      </c>
      <c r="B10" s="1">
        <v>18</v>
      </c>
      <c r="C10" s="27">
        <v>0.19232638888888889</v>
      </c>
      <c r="D10" s="27">
        <f>C10-'Leg 3'!C10</f>
        <v>4.3414351851851857E-2</v>
      </c>
      <c r="E10" s="1" t="str">
        <f>VLOOKUP(B10,Registration!$B$3:$C$77,2,FALSE)</f>
        <v>Mixed</v>
      </c>
      <c r="F10" s="1"/>
      <c r="G10" s="16">
        <f t="shared" si="1"/>
        <v>4.5699317738791432E-3</v>
      </c>
      <c r="J10" s="1">
        <v>2</v>
      </c>
      <c r="K10" s="1">
        <v>8</v>
      </c>
      <c r="L10" s="27">
        <v>0.16864583333333336</v>
      </c>
      <c r="M10" s="27">
        <f>L10-'Leg 3'!K5</f>
        <v>0.16864583333333336</v>
      </c>
      <c r="N10" s="1" t="str">
        <f>VLOOKUP(K10,Registration!$B$3:$C$77,2,FALSE)</f>
        <v>Men's</v>
      </c>
      <c r="O10" s="16">
        <f t="shared" si="0"/>
        <v>1.7752192982456144E-2</v>
      </c>
    </row>
    <row r="11" spans="1:15" x14ac:dyDescent="0.35">
      <c r="A11" s="1">
        <v>8</v>
      </c>
      <c r="B11" s="1">
        <v>6</v>
      </c>
      <c r="C11" s="27">
        <v>0.2008912037037037</v>
      </c>
      <c r="D11" s="27">
        <f>C11-'Leg 3'!C11</f>
        <v>5.0625000000000003E-2</v>
      </c>
      <c r="E11" s="1" t="str">
        <f>VLOOKUP(B11,Registration!$B$3:$C$77,2,FALSE)</f>
        <v>Men's</v>
      </c>
      <c r="F11" s="1"/>
      <c r="G11" s="16">
        <f t="shared" si="1"/>
        <v>5.3289473684210529E-3</v>
      </c>
      <c r="J11" s="1">
        <v>4</v>
      </c>
      <c r="K11" s="1">
        <v>9</v>
      </c>
      <c r="L11" s="27">
        <v>0.1852546296296296</v>
      </c>
      <c r="M11" s="27">
        <f>L11-'Leg 3'!K7</f>
        <v>0.1852546296296296</v>
      </c>
      <c r="N11" s="1" t="str">
        <f>VLOOKUP(K11,Registration!$B$3:$C$77,2,FALSE)</f>
        <v>Men's</v>
      </c>
      <c r="O11" s="16">
        <f t="shared" si="0"/>
        <v>1.9500487329434695E-2</v>
      </c>
    </row>
    <row r="12" spans="1:15" x14ac:dyDescent="0.35">
      <c r="A12" s="1">
        <v>9</v>
      </c>
      <c r="B12" s="1">
        <v>16</v>
      </c>
      <c r="C12" s="27">
        <v>0.20423611111111109</v>
      </c>
      <c r="D12" s="27">
        <f>C12-'Leg 3'!C12</f>
        <v>4.6689814814814795E-2</v>
      </c>
      <c r="E12" s="1" t="str">
        <f>VLOOKUP(B12,Registration!$B$3:$C$77,2,FALSE)</f>
        <v>Womens</v>
      </c>
      <c r="F12" s="1"/>
      <c r="G12" s="16">
        <f t="shared" si="1"/>
        <v>4.9147173489278734E-3</v>
      </c>
      <c r="J12" s="1">
        <v>6</v>
      </c>
      <c r="K12" s="1">
        <v>10</v>
      </c>
      <c r="L12" s="27">
        <v>0.18888888888888888</v>
      </c>
      <c r="M12" s="27">
        <f>L12-'Leg 3'!K8</f>
        <v>0.18888888888888888</v>
      </c>
      <c r="N12" s="1" t="str">
        <f>VLOOKUP(K12,Registration!$B$3:$C$77,2,FALSE)</f>
        <v>Men40+</v>
      </c>
      <c r="O12" s="16">
        <f t="shared" si="0"/>
        <v>1.9883040935672513E-2</v>
      </c>
    </row>
    <row r="13" spans="1:15" x14ac:dyDescent="0.35">
      <c r="A13" s="1">
        <v>10</v>
      </c>
      <c r="B13" s="1">
        <v>50</v>
      </c>
      <c r="C13" s="27">
        <v>0.20570601851851852</v>
      </c>
      <c r="D13" s="27">
        <f>C13-'Leg 3'!C16</f>
        <v>4.3391203703703696E-2</v>
      </c>
      <c r="E13" s="1" t="str">
        <f>VLOOKUP(B13,Registration!$B$3:$C$77,2,FALSE)</f>
        <v>Mixed</v>
      </c>
      <c r="F13" s="1"/>
      <c r="G13" s="16">
        <f t="shared" si="1"/>
        <v>4.5674951267056525E-3</v>
      </c>
      <c r="J13" s="1">
        <v>28</v>
      </c>
      <c r="K13" s="1">
        <v>11</v>
      </c>
      <c r="L13" s="27">
        <v>0.24055555555555555</v>
      </c>
      <c r="M13" s="27">
        <f>L13-'Leg 3'!K35</f>
        <v>0.24055555555555555</v>
      </c>
      <c r="N13" s="1" t="str">
        <f>VLOOKUP(K13,Registration!$B$3:$C$77,2,FALSE)</f>
        <v>Men50+</v>
      </c>
      <c r="O13" s="16">
        <f t="shared" si="0"/>
        <v>2.5321637426900585E-2</v>
      </c>
    </row>
    <row r="14" spans="1:15" x14ac:dyDescent="0.35">
      <c r="A14" s="1">
        <v>11</v>
      </c>
      <c r="B14" s="1">
        <v>21</v>
      </c>
      <c r="C14" s="27">
        <v>0.20744212962962963</v>
      </c>
      <c r="D14" s="27">
        <f>C14-'Leg 3'!C15</f>
        <v>4.5567129629629638E-2</v>
      </c>
      <c r="E14" s="1" t="str">
        <f>VLOOKUP(B14,Registration!$B$3:$C$77,2,FALSE)</f>
        <v>Womens</v>
      </c>
      <c r="F14" s="1"/>
      <c r="G14" s="16">
        <f t="shared" si="1"/>
        <v>4.7965399610136461E-3</v>
      </c>
      <c r="J14" s="1">
        <v>27</v>
      </c>
      <c r="K14" s="1">
        <v>12</v>
      </c>
      <c r="L14" s="27">
        <v>0.23659722222222224</v>
      </c>
      <c r="M14" s="27">
        <f>L14-'Leg 3'!K40</f>
        <v>0.23659722222222224</v>
      </c>
      <c r="N14" s="1" t="str">
        <f>VLOOKUP(K14,Registration!$B$3:$C$77,2,FALSE)</f>
        <v>Men50+</v>
      </c>
      <c r="O14" s="16">
        <f t="shared" si="0"/>
        <v>2.4904970760233919E-2</v>
      </c>
    </row>
    <row r="15" spans="1:15" x14ac:dyDescent="0.35">
      <c r="A15" s="1">
        <v>12</v>
      </c>
      <c r="B15" s="1">
        <v>70</v>
      </c>
      <c r="C15" s="27">
        <v>0.20843750000000003</v>
      </c>
      <c r="D15" s="27">
        <f>C15-'Leg 3'!C13</f>
        <v>4.8530092592592611E-2</v>
      </c>
      <c r="E15" s="1" t="str">
        <f>VLOOKUP(B15,Registration!$B$3:$C$77,2,FALSE)</f>
        <v>HS-Boys</v>
      </c>
      <c r="F15" s="1"/>
      <c r="G15" s="16">
        <f t="shared" si="1"/>
        <v>5.1084307992202748E-3</v>
      </c>
      <c r="J15" s="1">
        <v>36</v>
      </c>
      <c r="K15" s="1">
        <v>13</v>
      </c>
      <c r="L15" s="27">
        <v>0.24809027777777778</v>
      </c>
      <c r="M15" s="27">
        <f>L15-'Leg 3'!K37</f>
        <v>0.24809027777777778</v>
      </c>
      <c r="N15" s="1" t="str">
        <f>VLOOKUP(K15,Registration!$B$3:$C$77,2,FALSE)</f>
        <v>Ultra</v>
      </c>
      <c r="O15" s="16">
        <f t="shared" si="0"/>
        <v>2.6114766081871344E-2</v>
      </c>
    </row>
    <row r="16" spans="1:15" x14ac:dyDescent="0.35">
      <c r="A16" s="1">
        <v>13</v>
      </c>
      <c r="B16" s="1">
        <v>71</v>
      </c>
      <c r="C16" s="27">
        <v>0.21184027777777778</v>
      </c>
      <c r="D16" s="27">
        <f>C16-'Leg 3'!C17</f>
        <v>4.8923611111111098E-2</v>
      </c>
      <c r="E16" s="1" t="str">
        <f>VLOOKUP(B16,Registration!$B$3:$C$77,2,FALSE)</f>
        <v>HS-Boys</v>
      </c>
      <c r="F16" s="1"/>
      <c r="G16" s="16">
        <f t="shared" si="1"/>
        <v>5.1498538011695892E-3</v>
      </c>
      <c r="J16" s="1">
        <v>58</v>
      </c>
      <c r="K16" s="1">
        <v>14</v>
      </c>
      <c r="L16" s="27">
        <v>0.28643518518518518</v>
      </c>
      <c r="M16" s="27">
        <f>L16-'Leg 3'!K67</f>
        <v>0.28643518518518518</v>
      </c>
      <c r="N16" s="1" t="str">
        <f>VLOOKUP(K16,Registration!$B$3:$C$77,2,FALSE)</f>
        <v>Womens</v>
      </c>
      <c r="O16" s="16">
        <f t="shared" si="0"/>
        <v>3.0151072124756335E-2</v>
      </c>
    </row>
    <row r="17" spans="1:15" x14ac:dyDescent="0.35">
      <c r="A17" s="1">
        <v>14</v>
      </c>
      <c r="B17" s="1">
        <v>37</v>
      </c>
      <c r="C17" s="27">
        <v>0.21376157407407406</v>
      </c>
      <c r="D17" s="27">
        <f>C17-'Leg 3'!C14</f>
        <v>5.3344907407407383E-2</v>
      </c>
      <c r="E17" s="1" t="str">
        <f>VLOOKUP(B17,Registration!$B$3:$C$77,2,FALSE)</f>
        <v>Mixed</v>
      </c>
      <c r="F17" s="1"/>
      <c r="G17" s="16">
        <f t="shared" si="1"/>
        <v>5.6152534113060402E-3</v>
      </c>
      <c r="J17" s="1">
        <v>9</v>
      </c>
      <c r="K17" s="1">
        <v>16</v>
      </c>
      <c r="L17" s="27">
        <v>0.20423611111111109</v>
      </c>
      <c r="M17" s="27">
        <f>L17-'Leg 3'!K12</f>
        <v>0.20423611111111109</v>
      </c>
      <c r="N17" s="1" t="str">
        <f>VLOOKUP(K17,Registration!$B$3:$C$77,2,FALSE)</f>
        <v>Womens</v>
      </c>
      <c r="O17" s="16">
        <f t="shared" si="0"/>
        <v>2.1498538011695906E-2</v>
      </c>
    </row>
    <row r="18" spans="1:15" x14ac:dyDescent="0.35">
      <c r="A18" s="1">
        <v>15</v>
      </c>
      <c r="B18" s="1">
        <v>26</v>
      </c>
      <c r="C18" s="27">
        <v>0.21434027777777778</v>
      </c>
      <c r="D18" s="27">
        <f>C18-'Leg 3'!C19</f>
        <v>4.6875E-2</v>
      </c>
      <c r="E18" s="1" t="str">
        <f>VLOOKUP(B18,Registration!$B$3:$C$77,2,FALSE)</f>
        <v>Mixed</v>
      </c>
      <c r="F18" s="1"/>
      <c r="G18" s="16">
        <f t="shared" si="1"/>
        <v>4.9342105263157892E-3</v>
      </c>
      <c r="J18" s="1">
        <v>55</v>
      </c>
      <c r="K18" s="1">
        <v>17</v>
      </c>
      <c r="L18" s="27">
        <v>0.27707175925925925</v>
      </c>
      <c r="M18" s="27">
        <f>L18-'Leg 3'!K56</f>
        <v>0.27707175925925925</v>
      </c>
      <c r="N18" s="1" t="str">
        <f>VLOOKUP(K18,Registration!$B$3:$C$77,2,FALSE)</f>
        <v>Womens</v>
      </c>
      <c r="O18" s="16">
        <f t="shared" si="0"/>
        <v>2.9165448343079922E-2</v>
      </c>
    </row>
    <row r="19" spans="1:15" x14ac:dyDescent="0.35">
      <c r="A19" s="1">
        <v>16</v>
      </c>
      <c r="B19" s="1">
        <v>69</v>
      </c>
      <c r="C19" s="27">
        <v>0.21512731481481481</v>
      </c>
      <c r="D19" s="27">
        <f>C19-'Leg 3'!C20</f>
        <v>4.6712962962962956E-2</v>
      </c>
      <c r="E19" s="1" t="str">
        <f>VLOOKUP(B19,Registration!$B$3:$C$77,2,FALSE)</f>
        <v>HS -Boys</v>
      </c>
      <c r="F19" s="1"/>
      <c r="G19" s="16">
        <f t="shared" si="1"/>
        <v>4.9171539961013642E-3</v>
      </c>
      <c r="J19" s="1">
        <v>7</v>
      </c>
      <c r="K19" s="1">
        <v>18</v>
      </c>
      <c r="L19" s="27">
        <v>0.19232638888888889</v>
      </c>
      <c r="M19" s="27">
        <f>L19-'Leg 3'!K10</f>
        <v>0.19232638888888889</v>
      </c>
      <c r="N19" s="1" t="str">
        <f>VLOOKUP(K19,Registration!$B$3:$C$77,2,FALSE)</f>
        <v>Mixed</v>
      </c>
      <c r="O19" s="16">
        <f t="shared" si="0"/>
        <v>2.0244883040935673E-2</v>
      </c>
    </row>
    <row r="20" spans="1:15" x14ac:dyDescent="0.35">
      <c r="A20" s="1">
        <v>17</v>
      </c>
      <c r="B20" s="1">
        <v>52</v>
      </c>
      <c r="C20" s="27">
        <v>0.21902777777777779</v>
      </c>
      <c r="D20" s="27">
        <f>C20-'Leg 3'!C22</f>
        <v>4.9456018518518524E-2</v>
      </c>
      <c r="E20" s="1" t="str">
        <f>VLOOKUP(B20,Registration!$B$3:$C$77,2,FALSE)</f>
        <v>Men's</v>
      </c>
      <c r="F20" s="1"/>
      <c r="G20" s="16">
        <f t="shared" si="1"/>
        <v>5.2058966861598449E-3</v>
      </c>
      <c r="J20" s="1">
        <v>31</v>
      </c>
      <c r="K20" s="1">
        <v>19</v>
      </c>
      <c r="L20" s="27">
        <v>0.24260416666666665</v>
      </c>
      <c r="M20" s="27">
        <f>L20-'Leg 3'!K39</f>
        <v>0.24260416666666665</v>
      </c>
      <c r="N20" s="1" t="str">
        <f>VLOOKUP(K20,Registration!$B$3:$C$77,2,FALSE)</f>
        <v>Womens</v>
      </c>
      <c r="O20" s="16">
        <f t="shared" si="0"/>
        <v>2.5537280701754383E-2</v>
      </c>
    </row>
    <row r="21" spans="1:15" x14ac:dyDescent="0.35">
      <c r="A21" s="1">
        <v>18</v>
      </c>
      <c r="B21" s="1">
        <v>60</v>
      </c>
      <c r="C21" s="27">
        <v>0.21905092592592593</v>
      </c>
      <c r="D21" s="27">
        <f>C21-'Leg 3'!C23</f>
        <v>4.940972222222223E-2</v>
      </c>
      <c r="E21" s="1" t="str">
        <f>VLOOKUP(B21,Registration!$B$3:$C$77,2,FALSE)</f>
        <v>Corp</v>
      </c>
      <c r="F21" s="1"/>
      <c r="G21" s="16">
        <f t="shared" si="1"/>
        <v>5.2010233918128659E-3</v>
      </c>
      <c r="J21" s="1">
        <v>11</v>
      </c>
      <c r="K21" s="1">
        <v>21</v>
      </c>
      <c r="L21" s="27">
        <v>0.20744212962962963</v>
      </c>
      <c r="M21" s="27">
        <f>L21-'Leg 3'!K15</f>
        <v>0.20744212962962963</v>
      </c>
      <c r="N21" s="1" t="str">
        <f>VLOOKUP(K21,Registration!$B$3:$C$77,2,FALSE)</f>
        <v>Womens</v>
      </c>
      <c r="O21" s="16">
        <f t="shared" si="0"/>
        <v>2.1836013645224171E-2</v>
      </c>
    </row>
    <row r="22" spans="1:15" x14ac:dyDescent="0.35">
      <c r="A22" s="1">
        <v>19</v>
      </c>
      <c r="B22" s="1">
        <v>55</v>
      </c>
      <c r="C22" s="27">
        <v>0.22152777777777777</v>
      </c>
      <c r="D22" s="27">
        <f>C22-'Leg 3'!C21</f>
        <v>5.3067129629629645E-2</v>
      </c>
      <c r="E22" s="1" t="str">
        <f>VLOOKUP(B22,Registration!$B$3:$C$77,2,FALSE)</f>
        <v>Mixed40+</v>
      </c>
      <c r="F22" s="1"/>
      <c r="G22" s="16">
        <f t="shared" si="1"/>
        <v>5.5860136452241735E-3</v>
      </c>
      <c r="J22" s="1">
        <v>21</v>
      </c>
      <c r="K22" s="1">
        <v>22</v>
      </c>
      <c r="L22" s="27">
        <v>0.22526620370370368</v>
      </c>
      <c r="M22" s="27">
        <f>L22-'Leg 3'!K24</f>
        <v>0.22526620370370368</v>
      </c>
      <c r="N22" s="1" t="str">
        <f>VLOOKUP(K22,Registration!$B$3:$C$77,2,FALSE)</f>
        <v>Wmn 40+</v>
      </c>
      <c r="O22" s="16">
        <f t="shared" si="0"/>
        <v>2.3712231968810914E-2</v>
      </c>
    </row>
    <row r="23" spans="1:15" x14ac:dyDescent="0.35">
      <c r="A23" s="1">
        <v>20</v>
      </c>
      <c r="B23" s="1">
        <v>43</v>
      </c>
      <c r="C23" s="27">
        <v>0.22201388888888887</v>
      </c>
      <c r="D23" s="27">
        <f>C23-'Leg 3'!C18</f>
        <v>5.8252314814814798E-2</v>
      </c>
      <c r="E23" s="1" t="str">
        <f>VLOOKUP(B23,Registration!$B$3:$C$77,2,FALSE)</f>
        <v>Mixed</v>
      </c>
      <c r="F23" s="1"/>
      <c r="G23" s="16">
        <f t="shared" si="1"/>
        <v>6.1318226120857687E-3</v>
      </c>
      <c r="J23" s="1">
        <v>54</v>
      </c>
      <c r="K23" s="1">
        <v>23</v>
      </c>
      <c r="L23" s="27">
        <v>0.27050925925925923</v>
      </c>
      <c r="M23" s="27">
        <f>L23-'Leg 3'!K55</f>
        <v>0.27050925925925923</v>
      </c>
      <c r="N23" s="1" t="str">
        <f>VLOOKUP(K23,Registration!$B$3:$C$77,2,FALSE)</f>
        <v>Mixed</v>
      </c>
      <c r="O23" s="16">
        <f t="shared" si="0"/>
        <v>2.8474658869395708E-2</v>
      </c>
    </row>
    <row r="24" spans="1:15" x14ac:dyDescent="0.35">
      <c r="A24" s="1">
        <v>21</v>
      </c>
      <c r="B24" s="1">
        <v>22</v>
      </c>
      <c r="C24" s="27">
        <v>0.22526620370370368</v>
      </c>
      <c r="D24" s="27">
        <f>C24-'Leg 3'!C24</f>
        <v>5.5474537037037003E-2</v>
      </c>
      <c r="E24" s="1" t="str">
        <f>VLOOKUP(B24,Registration!$B$3:$C$77,2,FALSE)</f>
        <v>Wmn 40+</v>
      </c>
      <c r="F24" s="1"/>
      <c r="G24" s="16">
        <f t="shared" si="1"/>
        <v>5.8394249512670532E-3</v>
      </c>
      <c r="J24" s="1">
        <v>24</v>
      </c>
      <c r="K24" s="1">
        <v>24</v>
      </c>
      <c r="L24" s="27">
        <v>0.23138888888888889</v>
      </c>
      <c r="M24" s="27">
        <f>L24-'Leg 3'!K25</f>
        <v>0.23138888888888889</v>
      </c>
      <c r="N24" s="1" t="str">
        <f>VLOOKUP(K24,Registration!$B$3:$C$77,2,FALSE)</f>
        <v>Mixed</v>
      </c>
      <c r="O24" s="16">
        <f t="shared" si="0"/>
        <v>2.435672514619883E-2</v>
      </c>
    </row>
    <row r="25" spans="1:15" x14ac:dyDescent="0.35">
      <c r="A25" s="1">
        <v>22</v>
      </c>
      <c r="B25" s="1">
        <v>25</v>
      </c>
      <c r="C25" s="27">
        <v>0.22849537037037038</v>
      </c>
      <c r="D25" s="27">
        <f>C25-'Leg 3'!C26</f>
        <v>5.7592592592592612E-2</v>
      </c>
      <c r="E25" s="1" t="str">
        <f>VLOOKUP(B25,Registration!$B$3:$C$77,2,FALSE)</f>
        <v>Mixed</v>
      </c>
      <c r="F25" s="1"/>
      <c r="G25" s="16">
        <f t="shared" si="1"/>
        <v>6.0623781676413272E-3</v>
      </c>
      <c r="J25" s="1">
        <v>22</v>
      </c>
      <c r="K25" s="1">
        <v>25</v>
      </c>
      <c r="L25" s="27">
        <v>0.22849537037037038</v>
      </c>
      <c r="M25" s="27">
        <f>L25-'Leg 3'!K26</f>
        <v>0.22849537037037038</v>
      </c>
      <c r="N25" s="1" t="str">
        <f>VLOOKUP(K25,Registration!$B$3:$C$77,2,FALSE)</f>
        <v>Mixed</v>
      </c>
      <c r="O25" s="16">
        <f t="shared" si="0"/>
        <v>2.4052144249512672E-2</v>
      </c>
    </row>
    <row r="26" spans="1:15" x14ac:dyDescent="0.35">
      <c r="A26" s="1">
        <v>23</v>
      </c>
      <c r="B26" s="1">
        <v>72</v>
      </c>
      <c r="C26" s="27">
        <v>0.23012731481481483</v>
      </c>
      <c r="D26" s="27">
        <f>C26-'Leg 3'!C29</f>
        <v>5.5532407407407391E-2</v>
      </c>
      <c r="E26" s="1" t="str">
        <f>VLOOKUP(B26,Registration!$B$3:$C$77,2,FALSE)</f>
        <v>HS-Boys</v>
      </c>
      <c r="F26" s="1"/>
      <c r="G26" s="16">
        <f t="shared" si="1"/>
        <v>5.8455165692007779E-3</v>
      </c>
      <c r="J26" s="1">
        <v>15</v>
      </c>
      <c r="K26" s="1">
        <v>26</v>
      </c>
      <c r="L26" s="27">
        <v>0.21434027777777778</v>
      </c>
      <c r="M26" s="27">
        <f>L26-'Leg 3'!K19</f>
        <v>0.21434027777777778</v>
      </c>
      <c r="N26" s="1" t="str">
        <f>VLOOKUP(K26,Registration!$B$3:$C$77,2,FALSE)</f>
        <v>Mixed</v>
      </c>
      <c r="O26" s="16">
        <f t="shared" si="0"/>
        <v>2.2562134502923978E-2</v>
      </c>
    </row>
    <row r="27" spans="1:15" x14ac:dyDescent="0.35">
      <c r="A27" s="1">
        <v>24</v>
      </c>
      <c r="B27" s="1">
        <v>24</v>
      </c>
      <c r="C27" s="27">
        <v>0.23138888888888889</v>
      </c>
      <c r="D27" s="27">
        <f>C27-'Leg 3'!C25</f>
        <v>6.0763888888888895E-2</v>
      </c>
      <c r="E27" s="1" t="str">
        <f>VLOOKUP(B27,Registration!$B$3:$C$77,2,FALSE)</f>
        <v>Mixed</v>
      </c>
      <c r="F27" s="1"/>
      <c r="G27" s="16">
        <f t="shared" si="1"/>
        <v>6.3961988304093572E-3</v>
      </c>
      <c r="J27" s="1">
        <v>47</v>
      </c>
      <c r="K27" s="1">
        <v>27</v>
      </c>
      <c r="L27" s="27">
        <v>0.25908564814814816</v>
      </c>
      <c r="M27" s="27">
        <f>L27-'Leg 3'!K50</f>
        <v>0.25908564814814816</v>
      </c>
      <c r="N27" s="1" t="str">
        <f>VLOOKUP(K27,Registration!$B$3:$C$77,2,FALSE)</f>
        <v>Mixed</v>
      </c>
      <c r="O27" s="16">
        <f t="shared" si="0"/>
        <v>2.7272173489278753E-2</v>
      </c>
    </row>
    <row r="28" spans="1:15" x14ac:dyDescent="0.35">
      <c r="A28" s="1">
        <v>25</v>
      </c>
      <c r="B28" s="1">
        <v>63</v>
      </c>
      <c r="C28" s="27">
        <v>0.23146990740740739</v>
      </c>
      <c r="D28" s="27">
        <f>C28-'Leg 3'!C27</f>
        <v>5.8263888888888893E-2</v>
      </c>
      <c r="E28" s="1" t="str">
        <f>VLOOKUP(B28,Registration!$B$3:$C$77,2,FALSE)</f>
        <v>Corp</v>
      </c>
      <c r="F28" s="1"/>
      <c r="G28" s="16">
        <f t="shared" si="1"/>
        <v>6.1330409356725154E-3</v>
      </c>
      <c r="J28" s="1">
        <v>40</v>
      </c>
      <c r="K28" s="1">
        <v>28</v>
      </c>
      <c r="L28" s="27">
        <v>0.25034722222222222</v>
      </c>
      <c r="M28" s="27">
        <f>L28-'Leg 3'!K52</f>
        <v>0.25034722222222222</v>
      </c>
      <c r="N28" s="1" t="str">
        <f>VLOOKUP(K28,Registration!$B$3:$C$77,2,FALSE)</f>
        <v>Mixed</v>
      </c>
      <c r="O28" s="16">
        <f t="shared" si="0"/>
        <v>2.6352339181286551E-2</v>
      </c>
    </row>
    <row r="29" spans="1:15" x14ac:dyDescent="0.35">
      <c r="A29" s="1">
        <v>26</v>
      </c>
      <c r="B29" s="1">
        <v>35</v>
      </c>
      <c r="C29" s="27">
        <v>0.23408564814814814</v>
      </c>
      <c r="D29" s="27">
        <f>C29-'Leg 3'!C41</f>
        <v>4.2638888888888893E-2</v>
      </c>
      <c r="E29" s="1" t="str">
        <f>VLOOKUP(B29,Registration!$B$3:$C$77,2,FALSE)</f>
        <v>Mixed</v>
      </c>
      <c r="F29" s="1"/>
      <c r="G29" s="16">
        <f t="shared" si="1"/>
        <v>4.4883040935672523E-3</v>
      </c>
      <c r="J29" s="1">
        <v>42</v>
      </c>
      <c r="K29" s="1">
        <v>29</v>
      </c>
      <c r="L29" s="27">
        <v>0.25243055555555555</v>
      </c>
      <c r="M29" s="27">
        <f>L29-'Leg 3'!K33</f>
        <v>0.25243055555555555</v>
      </c>
      <c r="N29" s="1" t="str">
        <f>VLOOKUP(K29,Registration!$B$3:$C$77,2,FALSE)</f>
        <v>Mixed</v>
      </c>
      <c r="O29" s="16">
        <f t="shared" si="0"/>
        <v>2.6571637426900583E-2</v>
      </c>
    </row>
    <row r="30" spans="1:15" x14ac:dyDescent="0.35">
      <c r="A30" s="1">
        <v>27</v>
      </c>
      <c r="B30" s="1">
        <v>12</v>
      </c>
      <c r="C30" s="27">
        <v>0.23659722222222224</v>
      </c>
      <c r="D30" s="27">
        <f>C30-'Leg 3'!C40</f>
        <v>4.6041666666666675E-2</v>
      </c>
      <c r="E30" s="1" t="str">
        <f>VLOOKUP(B30,Registration!$B$3:$C$77,2,FALSE)</f>
        <v>Men50+</v>
      </c>
      <c r="F30" s="1"/>
      <c r="G30" s="16">
        <f t="shared" si="1"/>
        <v>4.8464912280701761E-3</v>
      </c>
      <c r="J30" s="1">
        <v>38</v>
      </c>
      <c r="K30" s="1">
        <v>30</v>
      </c>
      <c r="L30" s="27">
        <v>0.24869212962962961</v>
      </c>
      <c r="M30" s="27">
        <f>L30-'Leg 3'!K30</f>
        <v>0.24869212962962961</v>
      </c>
      <c r="N30" s="1" t="str">
        <f>VLOOKUP(K30,Registration!$B$3:$C$77,2,FALSE)</f>
        <v>Mixed</v>
      </c>
      <c r="O30" s="16">
        <f t="shared" si="0"/>
        <v>2.6178118908382064E-2</v>
      </c>
    </row>
    <row r="31" spans="1:15" x14ac:dyDescent="0.35">
      <c r="A31" s="1">
        <v>28</v>
      </c>
      <c r="B31" s="1">
        <v>11</v>
      </c>
      <c r="C31" s="27">
        <v>0.24055555555555555</v>
      </c>
      <c r="D31" s="27">
        <f>C31-'Leg 3'!C35</f>
        <v>5.497685185185186E-2</v>
      </c>
      <c r="E31" s="1" t="str">
        <f>VLOOKUP(B31,Registration!$B$3:$C$77,2,FALSE)</f>
        <v>Men50+</v>
      </c>
      <c r="F31" s="1"/>
      <c r="G31" s="16">
        <f t="shared" si="1"/>
        <v>5.7870370370370376E-3</v>
      </c>
      <c r="J31" s="1">
        <v>29</v>
      </c>
      <c r="K31" s="1">
        <v>31</v>
      </c>
      <c r="L31" s="27">
        <v>0.24127314814814815</v>
      </c>
      <c r="M31" s="27">
        <f>L31-'Leg 3'!K34</f>
        <v>0.24127314814814815</v>
      </c>
      <c r="N31" s="1" t="str">
        <f>VLOOKUP(K31,Registration!$B$3:$C$77,2,FALSE)</f>
        <v>Mixed</v>
      </c>
      <c r="O31" s="16">
        <f t="shared" si="0"/>
        <v>2.5397173489278752E-2</v>
      </c>
    </row>
    <row r="32" spans="1:15" x14ac:dyDescent="0.35">
      <c r="A32" s="1">
        <v>29</v>
      </c>
      <c r="B32" s="1">
        <v>31</v>
      </c>
      <c r="C32" s="27">
        <v>0.24127314814814815</v>
      </c>
      <c r="D32" s="27">
        <f>C32-'Leg 3'!C34</f>
        <v>5.7094907407407414E-2</v>
      </c>
      <c r="E32" s="1" t="str">
        <f>VLOOKUP(B32,Registration!$B$3:$C$77,2,FALSE)</f>
        <v>Mixed</v>
      </c>
      <c r="F32" s="1"/>
      <c r="G32" s="16">
        <f t="shared" si="1"/>
        <v>6.0099902534113065E-3</v>
      </c>
      <c r="J32" s="1">
        <v>45</v>
      </c>
      <c r="K32" s="1">
        <v>32</v>
      </c>
      <c r="L32" s="27">
        <v>0.25696759259259261</v>
      </c>
      <c r="M32" s="27">
        <f>L32-'Leg 3'!K48</f>
        <v>0.25696759259259261</v>
      </c>
      <c r="N32" s="1" t="str">
        <f>VLOOKUP(K32,Registration!$B$3:$C$77,2,FALSE)</f>
        <v>Mixed</v>
      </c>
      <c r="O32" s="16">
        <f t="shared" si="0"/>
        <v>2.7049220272904486E-2</v>
      </c>
    </row>
    <row r="33" spans="1:15" x14ac:dyDescent="0.35">
      <c r="A33" s="1">
        <v>30</v>
      </c>
      <c r="B33" s="1">
        <v>36</v>
      </c>
      <c r="C33" s="27">
        <v>0.2414236111111111</v>
      </c>
      <c r="D33" s="27">
        <f>C33-'Leg 3'!C32</f>
        <v>5.8726851851851863E-2</v>
      </c>
      <c r="E33" s="1" t="str">
        <f>VLOOKUP(B33,Registration!$B$3:$C$77,2,FALSE)</f>
        <v>Mixed</v>
      </c>
      <c r="F33" s="1"/>
      <c r="G33" s="16">
        <f t="shared" si="1"/>
        <v>6.1817738791423013E-3</v>
      </c>
      <c r="J33" s="1">
        <v>34</v>
      </c>
      <c r="K33" s="1">
        <v>34</v>
      </c>
      <c r="L33" s="27">
        <v>0.24581018518518519</v>
      </c>
      <c r="M33" s="27">
        <f>L33-'Leg 3'!K31</f>
        <v>0.24581018518518519</v>
      </c>
      <c r="N33" s="1" t="str">
        <f>VLOOKUP(K33,Registration!$B$3:$C$77,2,FALSE)</f>
        <v>Mixed</v>
      </c>
      <c r="O33" s="16">
        <f t="shared" si="0"/>
        <v>2.5874756335282651E-2</v>
      </c>
    </row>
    <row r="34" spans="1:15" x14ac:dyDescent="0.35">
      <c r="A34" s="1">
        <v>31</v>
      </c>
      <c r="B34" s="1">
        <v>19</v>
      </c>
      <c r="C34" s="27">
        <v>0.24260416666666665</v>
      </c>
      <c r="D34" s="27">
        <f>C34-'Leg 3'!C39</f>
        <v>5.247685185185183E-2</v>
      </c>
      <c r="E34" s="1" t="str">
        <f>VLOOKUP(B34,Registration!$B$3:$C$77,2,FALSE)</f>
        <v>Womens</v>
      </c>
      <c r="F34" s="1"/>
      <c r="G34" s="16">
        <f t="shared" si="1"/>
        <v>5.5238791423001922E-3</v>
      </c>
      <c r="J34" s="1">
        <v>26</v>
      </c>
      <c r="K34" s="1">
        <v>35</v>
      </c>
      <c r="L34" s="27">
        <v>0.23408564814814814</v>
      </c>
      <c r="M34" s="27">
        <f>L34-'Leg 3'!K41</f>
        <v>0.23408564814814814</v>
      </c>
      <c r="N34" s="1" t="str">
        <f>VLOOKUP(K34,Registration!$B$3:$C$77,2,FALSE)</f>
        <v>Mixed</v>
      </c>
      <c r="O34" s="16">
        <f t="shared" si="0"/>
        <v>2.4640594541910331E-2</v>
      </c>
    </row>
    <row r="35" spans="1:15" x14ac:dyDescent="0.35">
      <c r="A35" s="1">
        <v>32</v>
      </c>
      <c r="B35" s="1">
        <v>65</v>
      </c>
      <c r="C35" s="27">
        <v>0.24392361111111113</v>
      </c>
      <c r="D35" s="27">
        <f>C35-'Leg 3'!C38</f>
        <v>5.3807870370370381E-2</v>
      </c>
      <c r="E35" s="1" t="str">
        <f>VLOOKUP(B35,Registration!$B$3:$C$77,2,FALSE)</f>
        <v>Corp</v>
      </c>
      <c r="F35" s="1"/>
      <c r="G35" s="16">
        <f t="shared" si="1"/>
        <v>5.6639863547758296E-3</v>
      </c>
      <c r="J35" s="1">
        <v>30</v>
      </c>
      <c r="K35" s="1">
        <v>36</v>
      </c>
      <c r="L35" s="27">
        <v>0.2414236111111111</v>
      </c>
      <c r="M35" s="27">
        <f>L35-'Leg 3'!K32</f>
        <v>0.2414236111111111</v>
      </c>
      <c r="N35" s="1" t="str">
        <f>VLOOKUP(K35,Registration!$B$3:$C$77,2,FALSE)</f>
        <v>Mixed</v>
      </c>
      <c r="O35" s="16">
        <f t="shared" si="0"/>
        <v>2.5413011695906432E-2</v>
      </c>
    </row>
    <row r="36" spans="1:15" x14ac:dyDescent="0.35">
      <c r="A36" s="1">
        <v>33</v>
      </c>
      <c r="B36" s="1">
        <v>59</v>
      </c>
      <c r="C36" s="27">
        <v>0.24479166666666666</v>
      </c>
      <c r="D36" s="27">
        <f>C36-'Leg 3'!C42</f>
        <v>5.136574074074074E-2</v>
      </c>
      <c r="E36" s="1" t="str">
        <f>VLOOKUP(B36,Registration!$B$3:$C$77,2,FALSE)</f>
        <v>Corp</v>
      </c>
      <c r="F36" s="1"/>
      <c r="G36" s="16">
        <f t="shared" si="1"/>
        <v>5.4069200779727098E-3</v>
      </c>
      <c r="J36" s="1">
        <v>14</v>
      </c>
      <c r="K36" s="1">
        <v>37</v>
      </c>
      <c r="L36" s="27">
        <v>0.21376157407407406</v>
      </c>
      <c r="M36" s="27">
        <f>L36-'Leg 3'!K14</f>
        <v>0.21376157407407406</v>
      </c>
      <c r="N36" s="1" t="str">
        <f>VLOOKUP(K36,Registration!$B$3:$C$77,2,FALSE)</f>
        <v>Mixed</v>
      </c>
      <c r="O36" s="16">
        <f t="shared" ref="O36:O70" si="2">M36/9.5</f>
        <v>2.2501218323586744E-2</v>
      </c>
    </row>
    <row r="37" spans="1:15" x14ac:dyDescent="0.35">
      <c r="A37" s="1">
        <v>34</v>
      </c>
      <c r="B37" s="1">
        <v>34</v>
      </c>
      <c r="C37" s="27">
        <v>0.24581018518518519</v>
      </c>
      <c r="D37" s="27">
        <f>C37-'Leg 3'!C31</f>
        <v>6.55324074074074E-2</v>
      </c>
      <c r="E37" s="1" t="str">
        <f>VLOOKUP(B37,Registration!$B$3:$C$77,2,FALSE)</f>
        <v>Mixed</v>
      </c>
      <c r="F37" s="1"/>
      <c r="G37" s="16">
        <f t="shared" si="1"/>
        <v>6.8981481481481472E-3</v>
      </c>
      <c r="J37" s="1">
        <v>39</v>
      </c>
      <c r="K37" s="1">
        <v>38</v>
      </c>
      <c r="L37" s="27">
        <v>0.24962962962962965</v>
      </c>
      <c r="M37" s="27">
        <f>L37-'Leg 3'!K44</f>
        <v>0.24962962962962965</v>
      </c>
      <c r="N37" s="1" t="str">
        <f>VLOOKUP(K37,Registration!$B$3:$C$77,2,FALSE)</f>
        <v>Mixed</v>
      </c>
      <c r="O37" s="16">
        <f t="shared" si="2"/>
        <v>2.6276803118908384E-2</v>
      </c>
    </row>
    <row r="38" spans="1:15" x14ac:dyDescent="0.35">
      <c r="A38" s="1">
        <v>35</v>
      </c>
      <c r="B38" s="1">
        <v>62</v>
      </c>
      <c r="C38" s="27">
        <v>0.24763888888888888</v>
      </c>
      <c r="D38" s="27">
        <f>C38-'Leg 3'!C36</f>
        <v>6.1979166666666641E-2</v>
      </c>
      <c r="E38" s="1" t="str">
        <f>VLOOKUP(B38,Registration!$B$3:$C$77,2,FALSE)</f>
        <v>Corp</v>
      </c>
      <c r="F38" s="1"/>
      <c r="G38" s="16">
        <f t="shared" si="1"/>
        <v>6.5241228070175407E-3</v>
      </c>
      <c r="J38" s="1">
        <v>37</v>
      </c>
      <c r="K38" s="1">
        <v>39</v>
      </c>
      <c r="L38" s="27">
        <v>0.24859953703703705</v>
      </c>
      <c r="M38" s="27">
        <f>L38-'Leg 3'!K45</f>
        <v>0.24859953703703705</v>
      </c>
      <c r="N38" s="1" t="str">
        <f>VLOOKUP(K38,Registration!$B$3:$C$77,2,FALSE)</f>
        <v>Mixed</v>
      </c>
      <c r="O38" s="16">
        <f t="shared" si="2"/>
        <v>2.6168372319688112E-2</v>
      </c>
    </row>
    <row r="39" spans="1:15" x14ac:dyDescent="0.35">
      <c r="A39" s="1">
        <v>36</v>
      </c>
      <c r="B39" s="1">
        <v>13</v>
      </c>
      <c r="C39" s="27">
        <v>0.24809027777777778</v>
      </c>
      <c r="D39" s="27">
        <f>C39-'Leg 3'!C37</f>
        <v>5.935185185185185E-2</v>
      </c>
      <c r="E39" s="1" t="str">
        <f>VLOOKUP(B39,Registration!$B$3:$C$77,2,FALSE)</f>
        <v>Ultra</v>
      </c>
      <c r="F39" s="1"/>
      <c r="G39" s="16">
        <f t="shared" si="1"/>
        <v>6.2475633528265104E-3</v>
      </c>
      <c r="J39" s="1">
        <v>65</v>
      </c>
      <c r="K39" s="1">
        <v>40</v>
      </c>
      <c r="L39" s="27">
        <v>0.30186342592592591</v>
      </c>
      <c r="M39" s="27">
        <f>L39-'Leg 3'!K63</f>
        <v>0.30186342592592591</v>
      </c>
      <c r="N39" s="1" t="str">
        <f>VLOOKUP(K39,Registration!$B$3:$C$77,2,FALSE)</f>
        <v>Mixed</v>
      </c>
      <c r="O39" s="16">
        <f t="shared" si="2"/>
        <v>3.1775097465886935E-2</v>
      </c>
    </row>
    <row r="40" spans="1:15" x14ac:dyDescent="0.35">
      <c r="A40" s="1">
        <v>37</v>
      </c>
      <c r="B40" s="1">
        <v>39</v>
      </c>
      <c r="C40" s="27">
        <v>0.24859953703703705</v>
      </c>
      <c r="D40" s="27">
        <f>C40-'Leg 3'!C45</f>
        <v>5.2997685185185189E-2</v>
      </c>
      <c r="E40" s="1" t="str">
        <f>VLOOKUP(B40,Registration!$B$3:$C$77,2,FALSE)</f>
        <v>Mixed</v>
      </c>
      <c r="F40" s="1"/>
      <c r="G40" s="16">
        <f t="shared" si="1"/>
        <v>5.5787037037037038E-3</v>
      </c>
      <c r="J40" s="1">
        <v>62</v>
      </c>
      <c r="K40" s="1">
        <v>41</v>
      </c>
      <c r="L40" s="27">
        <v>0.2991550925925926</v>
      </c>
      <c r="M40" s="27">
        <f>L40-'Leg 3'!K68</f>
        <v>0.2991550925925926</v>
      </c>
      <c r="N40" s="1" t="str">
        <f>VLOOKUP(K40,Registration!$B$3:$C$77,2,FALSE)</f>
        <v>Mixed</v>
      </c>
      <c r="O40" s="16">
        <f t="shared" si="2"/>
        <v>3.1490009746588693E-2</v>
      </c>
    </row>
    <row r="41" spans="1:15" x14ac:dyDescent="0.35">
      <c r="A41" s="1">
        <v>38</v>
      </c>
      <c r="B41" s="1">
        <v>30</v>
      </c>
      <c r="C41" s="27">
        <v>0.24869212962962961</v>
      </c>
      <c r="D41" s="27">
        <f>C41-'Leg 3'!C30</f>
        <v>7.0115740740740701E-2</v>
      </c>
      <c r="E41" s="1" t="str">
        <f>VLOOKUP(B41,Registration!$B$3:$C$77,2,FALSE)</f>
        <v>Mixed</v>
      </c>
      <c r="F41" s="1"/>
      <c r="G41" s="16">
        <f t="shared" si="1"/>
        <v>7.3806042884990214E-3</v>
      </c>
      <c r="J41" s="1">
        <v>49</v>
      </c>
      <c r="K41" s="1">
        <v>42</v>
      </c>
      <c r="L41" s="27">
        <v>0.26381944444444444</v>
      </c>
      <c r="M41" s="27">
        <f>L41-'Leg 3'!K46</f>
        <v>0.26381944444444444</v>
      </c>
      <c r="N41" s="1" t="str">
        <f>VLOOKUP(K41,Registration!$B$3:$C$77,2,FALSE)</f>
        <v>Mixed</v>
      </c>
      <c r="O41" s="16">
        <f t="shared" si="2"/>
        <v>2.777046783625731E-2</v>
      </c>
    </row>
    <row r="42" spans="1:15" x14ac:dyDescent="0.35">
      <c r="A42" s="1">
        <v>39</v>
      </c>
      <c r="B42" s="1">
        <v>38</v>
      </c>
      <c r="C42" s="27">
        <v>0.24962962962962965</v>
      </c>
      <c r="D42" s="27">
        <f>C42-'Leg 3'!C44</f>
        <v>5.4062500000000013E-2</v>
      </c>
      <c r="E42" s="1" t="str">
        <f>VLOOKUP(B42,Registration!$B$3:$C$77,2,FALSE)</f>
        <v>Mixed</v>
      </c>
      <c r="F42" s="1"/>
      <c r="G42" s="16">
        <f t="shared" si="1"/>
        <v>5.6907894736842116E-3</v>
      </c>
      <c r="J42" s="1">
        <v>20</v>
      </c>
      <c r="K42" s="1">
        <v>43</v>
      </c>
      <c r="L42" s="27">
        <v>0.22201388888888887</v>
      </c>
      <c r="M42" s="27">
        <f>L42-'Leg 3'!K18</f>
        <v>0.22201388888888887</v>
      </c>
      <c r="N42" s="1" t="str">
        <f>VLOOKUP(K42,Registration!$B$3:$C$77,2,FALSE)</f>
        <v>Mixed</v>
      </c>
      <c r="O42" s="16">
        <f t="shared" si="2"/>
        <v>2.3369883040935669E-2</v>
      </c>
    </row>
    <row r="43" spans="1:15" x14ac:dyDescent="0.35">
      <c r="A43" s="1">
        <v>40</v>
      </c>
      <c r="B43" s="1">
        <v>28</v>
      </c>
      <c r="C43" s="27">
        <v>0.25034722222222222</v>
      </c>
      <c r="D43" s="27">
        <f>C43-'Leg 3'!C52</f>
        <v>4.9097222222222209E-2</v>
      </c>
      <c r="E43" s="1" t="str">
        <f>VLOOKUP(B43,Registration!$B$3:$C$77,2,FALSE)</f>
        <v>Mixed</v>
      </c>
      <c r="F43" s="1"/>
      <c r="G43" s="16">
        <f t="shared" si="1"/>
        <v>5.1681286549707592E-3</v>
      </c>
      <c r="J43" s="1">
        <v>48</v>
      </c>
      <c r="K43" s="1">
        <v>45</v>
      </c>
      <c r="L43" s="27">
        <v>0.26116898148148149</v>
      </c>
      <c r="M43" s="27">
        <f>L43-'Leg 3'!K43</f>
        <v>0.26116898148148149</v>
      </c>
      <c r="N43" s="1" t="str">
        <f>VLOOKUP(K43,Registration!$B$3:$C$77,2,FALSE)</f>
        <v>Mixed</v>
      </c>
      <c r="O43" s="16">
        <f t="shared" si="2"/>
        <v>2.7491471734892789E-2</v>
      </c>
    </row>
    <row r="44" spans="1:15" x14ac:dyDescent="0.35">
      <c r="A44" s="1">
        <v>41</v>
      </c>
      <c r="B44" s="1">
        <v>4</v>
      </c>
      <c r="C44" s="27">
        <v>0.25039351851851849</v>
      </c>
      <c r="D44" s="27">
        <f>C44-'Leg 3'!C47</f>
        <v>5.4641203703703678E-2</v>
      </c>
      <c r="E44" s="1" t="str">
        <f>VLOOKUP(B44,Registration!$B$3:$C$77,2,FALSE)</f>
        <v>Men's</v>
      </c>
      <c r="F44" s="1"/>
      <c r="G44" s="16">
        <f t="shared" si="1"/>
        <v>5.7517056530214401E-3</v>
      </c>
      <c r="J44" s="1">
        <v>60</v>
      </c>
      <c r="K44" s="1">
        <v>46</v>
      </c>
      <c r="L44" s="27">
        <v>0.29255787037037034</v>
      </c>
      <c r="M44" s="27">
        <f>L44-'Leg 3'!K61</f>
        <v>0.29255787037037034</v>
      </c>
      <c r="N44" s="1" t="str">
        <f>VLOOKUP(K44,Registration!$B$3:$C$77,2,FALSE)</f>
        <v>Mixed</v>
      </c>
      <c r="O44" s="16">
        <f t="shared" si="2"/>
        <v>3.0795565302144248E-2</v>
      </c>
    </row>
    <row r="45" spans="1:15" x14ac:dyDescent="0.35">
      <c r="A45" s="1">
        <v>42</v>
      </c>
      <c r="B45" s="1">
        <v>29</v>
      </c>
      <c r="C45" s="27">
        <v>0.25243055555555555</v>
      </c>
      <c r="D45" s="27">
        <f>C45-'Leg 3'!C33</f>
        <v>6.9201388888888882E-2</v>
      </c>
      <c r="E45" s="1" t="str">
        <f>VLOOKUP(B45,Registration!$B$3:$C$77,2,FALSE)</f>
        <v>Mixed</v>
      </c>
      <c r="F45" s="1"/>
      <c r="G45" s="16">
        <f t="shared" si="1"/>
        <v>7.2843567251461979E-3</v>
      </c>
      <c r="J45" s="1">
        <v>52</v>
      </c>
      <c r="K45" s="1">
        <v>47</v>
      </c>
      <c r="L45" s="27">
        <v>0.26880787037037041</v>
      </c>
      <c r="M45" s="27">
        <f>L45-'Leg 3'!K54</f>
        <v>0.26880787037037041</v>
      </c>
      <c r="N45" s="1" t="str">
        <f>VLOOKUP(K45,Registration!$B$3:$C$77,2,FALSE)</f>
        <v>Mixed</v>
      </c>
      <c r="O45" s="16">
        <f t="shared" si="2"/>
        <v>2.8295565302144252E-2</v>
      </c>
    </row>
    <row r="46" spans="1:15" x14ac:dyDescent="0.35">
      <c r="A46" s="1">
        <v>43</v>
      </c>
      <c r="B46" s="1">
        <v>57</v>
      </c>
      <c r="C46" s="27">
        <v>0.25575231481481481</v>
      </c>
      <c r="D46" s="27">
        <f>C46-'Leg 3'!C49</f>
        <v>5.7581018518518517E-2</v>
      </c>
      <c r="E46" s="1" t="str">
        <f>VLOOKUP(B46,Registration!$B$3:$C$77,2,FALSE)</f>
        <v>Mixed40+</v>
      </c>
      <c r="F46" s="1"/>
      <c r="G46" s="16">
        <f t="shared" si="1"/>
        <v>6.0611598440545806E-3</v>
      </c>
      <c r="J46" s="1">
        <v>59</v>
      </c>
      <c r="K46" s="1">
        <v>48</v>
      </c>
      <c r="L46" s="27">
        <v>0.29211805555555553</v>
      </c>
      <c r="M46" s="27">
        <f>L46-'Leg 3'!K57</f>
        <v>0.29211805555555553</v>
      </c>
      <c r="N46" s="1" t="str">
        <f>VLOOKUP(K46,Registration!$B$3:$C$77,2,FALSE)</f>
        <v>Mixed</v>
      </c>
      <c r="O46" s="16">
        <f t="shared" si="2"/>
        <v>3.074926900584795E-2</v>
      </c>
    </row>
    <row r="47" spans="1:15" x14ac:dyDescent="0.35">
      <c r="A47" s="1">
        <v>44</v>
      </c>
      <c r="B47" s="1">
        <v>58</v>
      </c>
      <c r="C47" s="27">
        <v>0.25665509259259262</v>
      </c>
      <c r="D47" s="27">
        <f>C47-'Leg 3'!C51</f>
        <v>5.631944444444445E-2</v>
      </c>
      <c r="E47" s="1" t="str">
        <f>VLOOKUP(B47,Registration!$B$3:$C$77,2,FALSE)</f>
        <v>Mixed40+</v>
      </c>
      <c r="F47" s="1"/>
      <c r="G47" s="16">
        <f t="shared" si="1"/>
        <v>5.9283625730994155E-3</v>
      </c>
      <c r="J47" s="1">
        <v>51</v>
      </c>
      <c r="K47" s="1">
        <v>49</v>
      </c>
      <c r="L47" s="27">
        <v>0.26581018518518518</v>
      </c>
      <c r="M47" s="27">
        <f>L47-'Leg 3'!K59</f>
        <v>0.26581018518518518</v>
      </c>
      <c r="N47" s="1" t="str">
        <f>VLOOKUP(K47,Registration!$B$3:$C$77,2,FALSE)</f>
        <v>Mixed</v>
      </c>
      <c r="O47" s="16">
        <f t="shared" si="2"/>
        <v>2.7980019493177386E-2</v>
      </c>
    </row>
    <row r="48" spans="1:15" x14ac:dyDescent="0.35">
      <c r="A48" s="1">
        <v>45</v>
      </c>
      <c r="B48" s="1">
        <v>32</v>
      </c>
      <c r="C48" s="27">
        <v>0.25696759259259261</v>
      </c>
      <c r="D48" s="27">
        <f>C48-'Leg 3'!C48</f>
        <v>5.902777777777779E-2</v>
      </c>
      <c r="E48" s="1" t="str">
        <f>VLOOKUP(B48,Registration!$B$3:$C$77,2,FALSE)</f>
        <v>Mixed</v>
      </c>
      <c r="F48" s="1"/>
      <c r="G48" s="16">
        <f t="shared" si="1"/>
        <v>6.2134502923976622E-3</v>
      </c>
      <c r="J48" s="1">
        <v>10</v>
      </c>
      <c r="K48" s="1">
        <v>50</v>
      </c>
      <c r="L48" s="27">
        <v>0.20570601851851852</v>
      </c>
      <c r="M48" s="27">
        <f>L48-'Leg 3'!K16</f>
        <v>0.20570601851851852</v>
      </c>
      <c r="N48" s="1" t="str">
        <f>VLOOKUP(K48,Registration!$B$3:$C$77,2,FALSE)</f>
        <v>Mixed</v>
      </c>
      <c r="O48" s="16">
        <f t="shared" si="2"/>
        <v>2.1653265107212476E-2</v>
      </c>
    </row>
    <row r="49" spans="1:15" x14ac:dyDescent="0.35">
      <c r="A49" s="1">
        <v>46</v>
      </c>
      <c r="B49" s="1">
        <v>66</v>
      </c>
      <c r="C49" s="27">
        <v>0.25787037037037036</v>
      </c>
      <c r="D49" s="27">
        <f>C49-'Leg 3'!C28</f>
        <v>8.3958333333333329E-2</v>
      </c>
      <c r="E49" s="1" t="str">
        <f>VLOOKUP(B49,Registration!$B$3:$C$77,2,FALSE)</f>
        <v>Corp</v>
      </c>
      <c r="F49" s="1"/>
      <c r="G49" s="16">
        <f t="shared" si="1"/>
        <v>8.8377192982456131E-3</v>
      </c>
      <c r="J49" s="1">
        <v>64</v>
      </c>
      <c r="K49" s="1">
        <v>51</v>
      </c>
      <c r="L49" s="27">
        <v>0.30118055555555556</v>
      </c>
      <c r="M49" s="27">
        <f>L49-'Leg 3'!K65</f>
        <v>0.30118055555555556</v>
      </c>
      <c r="N49" s="1" t="str">
        <f>VLOOKUP(K49,Registration!$B$3:$C$77,2,FALSE)</f>
        <v>Mixed</v>
      </c>
      <c r="O49" s="16">
        <f t="shared" si="2"/>
        <v>3.1703216374269004E-2</v>
      </c>
    </row>
    <row r="50" spans="1:15" x14ac:dyDescent="0.35">
      <c r="A50" s="1">
        <v>47</v>
      </c>
      <c r="B50" s="1">
        <v>27</v>
      </c>
      <c r="C50" s="27">
        <v>0.25908564814814816</v>
      </c>
      <c r="D50" s="27">
        <f>C50-'Leg 3'!C50</f>
        <v>6.0231481481481497E-2</v>
      </c>
      <c r="E50" s="1" t="str">
        <f>VLOOKUP(B50,Registration!$B$3:$C$77,2,FALSE)</f>
        <v>Mixed</v>
      </c>
      <c r="F50" s="1"/>
      <c r="G50" s="16">
        <f t="shared" si="1"/>
        <v>6.3401559454191051E-3</v>
      </c>
      <c r="J50" s="1">
        <v>17</v>
      </c>
      <c r="K50" s="1">
        <v>52</v>
      </c>
      <c r="L50" s="27">
        <v>0.21902777777777779</v>
      </c>
      <c r="M50" s="27">
        <f>L50-'Leg 3'!K22</f>
        <v>0.21902777777777779</v>
      </c>
      <c r="N50" s="1" t="str">
        <f>VLOOKUP(K50,Registration!$B$3:$C$77,2,FALSE)</f>
        <v>Men's</v>
      </c>
      <c r="O50" s="16">
        <f t="shared" si="2"/>
        <v>2.3055555555555558E-2</v>
      </c>
    </row>
    <row r="51" spans="1:15" x14ac:dyDescent="0.35">
      <c r="A51" s="1">
        <v>48</v>
      </c>
      <c r="B51" s="1">
        <v>45</v>
      </c>
      <c r="C51" s="27">
        <v>0.26116898148148149</v>
      </c>
      <c r="D51" s="27">
        <f>C51-'Leg 3'!C43</f>
        <v>6.6655092592592613E-2</v>
      </c>
      <c r="E51" s="1" t="str">
        <f>VLOOKUP(B51,Registration!$B$3:$C$77,2,FALSE)</f>
        <v>Mixed</v>
      </c>
      <c r="F51" s="1"/>
      <c r="G51" s="16">
        <f t="shared" si="1"/>
        <v>7.0163255360623806E-3</v>
      </c>
      <c r="J51" s="1">
        <v>67</v>
      </c>
      <c r="K51" s="1">
        <v>53</v>
      </c>
      <c r="L51" s="27">
        <v>0.32143518518518516</v>
      </c>
      <c r="M51" s="27">
        <f>L51-'Leg 3'!K65</f>
        <v>0.32143518518518516</v>
      </c>
      <c r="N51" s="1" t="str">
        <f>VLOOKUP(K51,Registration!$B$3:$C$77,2,FALSE)</f>
        <v>Mixed40+</v>
      </c>
      <c r="O51" s="16">
        <f t="shared" si="2"/>
        <v>3.3835282651072121E-2</v>
      </c>
    </row>
    <row r="52" spans="1:15" x14ac:dyDescent="0.35">
      <c r="A52" s="1">
        <v>49</v>
      </c>
      <c r="B52" s="1">
        <v>42</v>
      </c>
      <c r="C52" s="27">
        <v>0.26381944444444444</v>
      </c>
      <c r="D52" s="27">
        <f>C52-'Leg 3'!C46</f>
        <v>6.8148148148148124E-2</v>
      </c>
      <c r="E52" s="1" t="str">
        <f>VLOOKUP(B52,Registration!$B$3:$C$77,2,FALSE)</f>
        <v>Mixed</v>
      </c>
      <c r="F52" s="1"/>
      <c r="G52" s="16">
        <f t="shared" si="1"/>
        <v>7.1734892787524342E-3</v>
      </c>
      <c r="J52" s="1">
        <v>19</v>
      </c>
      <c r="K52" s="1">
        <v>55</v>
      </c>
      <c r="L52" s="27">
        <v>0.22152777777777777</v>
      </c>
      <c r="M52" s="27">
        <f>L52-'Leg 3'!K21</f>
        <v>0.22152777777777777</v>
      </c>
      <c r="N52" s="1" t="str">
        <f>VLOOKUP(K52,Registration!$B$3:$C$77,2,FALSE)</f>
        <v>Mixed40+</v>
      </c>
      <c r="O52" s="16">
        <f t="shared" si="2"/>
        <v>2.3318713450292395E-2</v>
      </c>
    </row>
    <row r="53" spans="1:15" x14ac:dyDescent="0.35">
      <c r="A53" s="1">
        <v>50</v>
      </c>
      <c r="B53" s="1">
        <v>56</v>
      </c>
      <c r="C53" s="27">
        <v>0.26475694444444448</v>
      </c>
      <c r="D53" s="27">
        <f>C53-'Leg 3'!C53</f>
        <v>6.3229166666666697E-2</v>
      </c>
      <c r="E53" s="1" t="str">
        <f>VLOOKUP(B53,Registration!$B$3:$C$77,2,FALSE)</f>
        <v>Mixed40+</v>
      </c>
      <c r="F53" s="1"/>
      <c r="G53" s="16">
        <f t="shared" si="1"/>
        <v>6.6557017543859677E-3</v>
      </c>
      <c r="J53" s="1">
        <v>50</v>
      </c>
      <c r="K53" s="1">
        <v>56</v>
      </c>
      <c r="L53" s="27">
        <v>0.26475694444444448</v>
      </c>
      <c r="M53" s="27">
        <f>L53-'Leg 3'!K53</f>
        <v>0.26475694444444448</v>
      </c>
      <c r="N53" s="1" t="str">
        <f>VLOOKUP(K53,Registration!$B$3:$C$77,2,FALSE)</f>
        <v>Mixed40+</v>
      </c>
      <c r="O53" s="16">
        <f t="shared" si="2"/>
        <v>2.786915204678363E-2</v>
      </c>
    </row>
    <row r="54" spans="1:15" x14ac:dyDescent="0.35">
      <c r="A54" s="1">
        <v>51</v>
      </c>
      <c r="B54" s="1">
        <v>49</v>
      </c>
      <c r="C54" s="27">
        <v>0.26581018518518518</v>
      </c>
      <c r="D54" s="27">
        <f>C54-'Leg 3'!C59</f>
        <v>5.6388888888888905E-2</v>
      </c>
      <c r="E54" s="1" t="str">
        <f>VLOOKUP(B54,Registration!$B$3:$C$77,2,FALSE)</f>
        <v>Mixed</v>
      </c>
      <c r="F54" s="1"/>
      <c r="G54" s="16">
        <f t="shared" si="1"/>
        <v>5.9356725146198844E-3</v>
      </c>
      <c r="J54" s="1">
        <v>43</v>
      </c>
      <c r="K54" s="1">
        <v>57</v>
      </c>
      <c r="L54" s="27">
        <v>0.25575231481481481</v>
      </c>
      <c r="M54" s="27">
        <f>L54-'Leg 3'!K49</f>
        <v>0.25575231481481481</v>
      </c>
      <c r="N54" s="1" t="str">
        <f>VLOOKUP(K54,Registration!$B$3:$C$77,2,FALSE)</f>
        <v>Mixed40+</v>
      </c>
      <c r="O54" s="16">
        <f t="shared" si="2"/>
        <v>2.6921296296296294E-2</v>
      </c>
    </row>
    <row r="55" spans="1:15" x14ac:dyDescent="0.35">
      <c r="A55" s="1">
        <v>52</v>
      </c>
      <c r="B55" s="1">
        <v>47</v>
      </c>
      <c r="C55" s="27">
        <v>0.26880787037037041</v>
      </c>
      <c r="D55" s="27">
        <f>C55-'Leg 3'!C54</f>
        <v>6.7013888888888901E-2</v>
      </c>
      <c r="E55" s="1" t="str">
        <f>VLOOKUP(B55,Registration!$B$3:$C$77,2,FALSE)</f>
        <v>Mixed</v>
      </c>
      <c r="F55" s="1"/>
      <c r="G55" s="16">
        <f t="shared" si="1"/>
        <v>7.0540935672514628E-3</v>
      </c>
      <c r="J55" s="1">
        <v>44</v>
      </c>
      <c r="K55" s="1">
        <v>58</v>
      </c>
      <c r="L55" s="27">
        <v>0.25665509259259262</v>
      </c>
      <c r="M55" s="27">
        <f>L55-'Leg 3'!K51</f>
        <v>0.25665509259259262</v>
      </c>
      <c r="N55" s="1" t="str">
        <f>VLOOKUP(K55,Registration!$B$3:$C$77,2,FALSE)</f>
        <v>Mixed40+</v>
      </c>
      <c r="O55" s="16">
        <f t="shared" si="2"/>
        <v>2.7016325536062379E-2</v>
      </c>
    </row>
    <row r="56" spans="1:15" x14ac:dyDescent="0.35">
      <c r="A56" s="1">
        <v>53</v>
      </c>
      <c r="B56" s="1">
        <v>64</v>
      </c>
      <c r="C56" s="27">
        <v>0.27013888888888887</v>
      </c>
      <c r="D56" s="27">
        <f>C56-'Leg 3'!C58</f>
        <v>6.2511574074074067E-2</v>
      </c>
      <c r="E56" s="1" t="str">
        <f>VLOOKUP(B56,Registration!$B$3:$C$77,2,FALSE)</f>
        <v>Corp</v>
      </c>
      <c r="F56" s="1"/>
      <c r="G56" s="16">
        <f t="shared" si="1"/>
        <v>6.5801656920077964E-3</v>
      </c>
      <c r="J56" s="1">
        <v>33</v>
      </c>
      <c r="K56" s="1">
        <v>59</v>
      </c>
      <c r="L56" s="27">
        <v>0.24479166666666666</v>
      </c>
      <c r="M56" s="27">
        <f>L56-'Leg 3'!K42</f>
        <v>0.24479166666666666</v>
      </c>
      <c r="N56" s="1" t="str">
        <f>VLOOKUP(K56,Registration!$B$3:$C$77,2,FALSE)</f>
        <v>Corp</v>
      </c>
      <c r="O56" s="16">
        <f t="shared" si="2"/>
        <v>2.5767543859649123E-2</v>
      </c>
    </row>
    <row r="57" spans="1:15" x14ac:dyDescent="0.35">
      <c r="A57" s="1">
        <v>54</v>
      </c>
      <c r="B57" s="1">
        <v>23</v>
      </c>
      <c r="C57" s="27">
        <v>0.27050925925925923</v>
      </c>
      <c r="D57" s="27">
        <f>C57-'Leg 3'!C55</f>
        <v>6.8425925925925918E-2</v>
      </c>
      <c r="E57" s="1" t="str">
        <f>VLOOKUP(B57,Registration!$B$3:$C$77,2,FALSE)</f>
        <v>Mixed</v>
      </c>
      <c r="F57" s="1"/>
      <c r="G57" s="16">
        <f t="shared" si="1"/>
        <v>7.202729044834307E-3</v>
      </c>
      <c r="J57" s="1">
        <v>18</v>
      </c>
      <c r="K57" s="1">
        <v>60</v>
      </c>
      <c r="L57" s="27">
        <v>0.21905092592592593</v>
      </c>
      <c r="M57" s="27">
        <f>L57-'Leg 3'!K23</f>
        <v>0.21905092592592593</v>
      </c>
      <c r="N57" s="1" t="str">
        <f>VLOOKUP(K57,Registration!$B$3:$C$77,2,FALSE)</f>
        <v>Corp</v>
      </c>
      <c r="O57" s="16">
        <f t="shared" si="2"/>
        <v>2.3057992202729045E-2</v>
      </c>
    </row>
    <row r="58" spans="1:15" x14ac:dyDescent="0.35">
      <c r="A58" s="1">
        <v>55</v>
      </c>
      <c r="B58" s="1">
        <v>17</v>
      </c>
      <c r="C58" s="27">
        <v>0.27707175925925925</v>
      </c>
      <c r="D58" s="27">
        <f>C58-'Leg 3'!C56</f>
        <v>7.1319444444444435E-2</v>
      </c>
      <c r="E58" s="1" t="str">
        <f>VLOOKUP(B58,Registration!$B$3:$C$77,2,FALSE)</f>
        <v>Womens</v>
      </c>
      <c r="F58" s="1"/>
      <c r="G58" s="16">
        <f t="shared" si="1"/>
        <v>7.5073099415204668E-3</v>
      </c>
      <c r="J58" s="1">
        <v>56</v>
      </c>
      <c r="K58" s="1">
        <v>61</v>
      </c>
      <c r="L58" s="27">
        <v>0.27834490740740742</v>
      </c>
      <c r="M58" s="27">
        <f>L58-'Leg 3'!K60</f>
        <v>0.27834490740740742</v>
      </c>
      <c r="N58" s="1" t="str">
        <f>VLOOKUP(K58,Registration!$B$3:$C$77,2,FALSE)</f>
        <v>Corp</v>
      </c>
      <c r="O58" s="16">
        <f t="shared" si="2"/>
        <v>2.9299463937621832E-2</v>
      </c>
    </row>
    <row r="59" spans="1:15" x14ac:dyDescent="0.35">
      <c r="A59" s="1">
        <v>56</v>
      </c>
      <c r="B59" s="1">
        <v>61</v>
      </c>
      <c r="C59" s="27">
        <v>0.27834490740740742</v>
      </c>
      <c r="D59" s="27">
        <f>C59-'Leg 3'!C60</f>
        <v>6.7303240740740733E-2</v>
      </c>
      <c r="E59" s="1" t="str">
        <f>VLOOKUP(B59,Registration!$B$3:$C$77,2,FALSE)</f>
        <v>Corp</v>
      </c>
      <c r="F59" s="1"/>
      <c r="G59" s="16">
        <f t="shared" si="1"/>
        <v>7.0845516569200771E-3</v>
      </c>
      <c r="J59" s="1">
        <v>35</v>
      </c>
      <c r="K59" s="1">
        <v>62</v>
      </c>
      <c r="L59" s="27">
        <v>0.24763888888888888</v>
      </c>
      <c r="M59" s="27">
        <f>L59-'Leg 3'!K36</f>
        <v>0.24763888888888888</v>
      </c>
      <c r="N59" s="1" t="str">
        <f>VLOOKUP(K59,Registration!$B$3:$C$77,2,FALSE)</f>
        <v>Corp</v>
      </c>
      <c r="O59" s="16">
        <f t="shared" si="2"/>
        <v>2.6067251461988305E-2</v>
      </c>
    </row>
    <row r="60" spans="1:15" x14ac:dyDescent="0.35">
      <c r="A60" s="1">
        <v>57</v>
      </c>
      <c r="B60" s="1">
        <v>7</v>
      </c>
      <c r="C60" s="27">
        <v>0.2845138888888889</v>
      </c>
      <c r="D60" s="27">
        <f>C60-'Leg 3'!C62</f>
        <v>6.5625000000000017E-2</v>
      </c>
      <c r="E60" s="1" t="str">
        <f>VLOOKUP(B60,Registration!$B$3:$C$77,2,FALSE)</f>
        <v>Men's</v>
      </c>
      <c r="F60" s="1"/>
      <c r="G60" s="16">
        <f t="shared" si="1"/>
        <v>6.9078947368421068E-3</v>
      </c>
      <c r="J60" s="1">
        <v>25</v>
      </c>
      <c r="K60" s="1">
        <v>63</v>
      </c>
      <c r="L60" s="27">
        <v>0.23146990740740739</v>
      </c>
      <c r="M60" s="27">
        <f>L60-'Leg 3'!K27</f>
        <v>0.23146990740740739</v>
      </c>
      <c r="N60" s="1" t="str">
        <f>VLOOKUP(K60,Registration!$B$3:$C$77,2,FALSE)</f>
        <v>Corp</v>
      </c>
      <c r="O60" s="16">
        <f t="shared" si="2"/>
        <v>2.4365253411306041E-2</v>
      </c>
    </row>
    <row r="61" spans="1:15" x14ac:dyDescent="0.35">
      <c r="A61" s="1">
        <v>58</v>
      </c>
      <c r="B61" s="1">
        <v>14</v>
      </c>
      <c r="C61" s="27">
        <v>0.28643518518518518</v>
      </c>
      <c r="D61" s="27">
        <f>C61-'Leg 3'!C67</f>
        <v>5.6539351851851855E-2</v>
      </c>
      <c r="E61" s="1" t="str">
        <f>VLOOKUP(B61,Registration!$B$3:$C$77,2,FALSE)</f>
        <v>Womens</v>
      </c>
      <c r="F61" s="1"/>
      <c r="G61" s="16">
        <f t="shared" si="1"/>
        <v>5.9515107212475635E-3</v>
      </c>
      <c r="J61" s="1">
        <v>53</v>
      </c>
      <c r="K61" s="1">
        <v>64</v>
      </c>
      <c r="L61" s="27">
        <v>0.27013888888888887</v>
      </c>
      <c r="M61" s="27">
        <f>L61-'Leg 3'!K58</f>
        <v>0.27013888888888887</v>
      </c>
      <c r="N61" s="1" t="str">
        <f>VLOOKUP(K61,Registration!$B$3:$C$77,2,FALSE)</f>
        <v>Corp</v>
      </c>
      <c r="O61" s="16">
        <f t="shared" si="2"/>
        <v>2.843567251461988E-2</v>
      </c>
    </row>
    <row r="62" spans="1:15" x14ac:dyDescent="0.35">
      <c r="A62" s="1">
        <v>59</v>
      </c>
      <c r="B62" s="1">
        <v>48</v>
      </c>
      <c r="C62" s="27">
        <v>0.29211805555555553</v>
      </c>
      <c r="D62" s="27">
        <f>C62-'Leg 3'!C57</f>
        <v>8.5023148148148125E-2</v>
      </c>
      <c r="E62" s="1" t="str">
        <f>VLOOKUP(B62,Registration!$B$3:$C$77,2,FALSE)</f>
        <v>Mixed</v>
      </c>
      <c r="F62" s="1"/>
      <c r="G62" s="16">
        <f t="shared" si="1"/>
        <v>8.9498050682261191E-3</v>
      </c>
      <c r="J62" s="1">
        <v>32</v>
      </c>
      <c r="K62" s="1">
        <v>65</v>
      </c>
      <c r="L62" s="27">
        <v>0.24392361111111113</v>
      </c>
      <c r="M62" s="27">
        <f>L62-'Leg 3'!K38</f>
        <v>0.24392361111111113</v>
      </c>
      <c r="N62" s="1" t="str">
        <f>VLOOKUP(K62,Registration!$B$3:$C$77,2,FALSE)</f>
        <v>Corp</v>
      </c>
      <c r="O62" s="16">
        <f t="shared" si="2"/>
        <v>2.5676169590643276E-2</v>
      </c>
    </row>
    <row r="63" spans="1:15" x14ac:dyDescent="0.35">
      <c r="A63" s="1">
        <v>60</v>
      </c>
      <c r="B63" s="1">
        <v>46</v>
      </c>
      <c r="C63" s="27">
        <v>0.29255787037037034</v>
      </c>
      <c r="D63" s="27">
        <f>C63-'Leg 3'!C61</f>
        <v>7.620370370370369E-2</v>
      </c>
      <c r="E63" s="1" t="str">
        <f>VLOOKUP(B63,Registration!$B$3:$C$77,2,FALSE)</f>
        <v>Mixed</v>
      </c>
      <c r="F63" s="1"/>
      <c r="G63" s="16">
        <f t="shared" si="1"/>
        <v>8.0214424951267037E-3</v>
      </c>
      <c r="J63" s="1">
        <v>46</v>
      </c>
      <c r="K63" s="1">
        <v>66</v>
      </c>
      <c r="L63" s="27">
        <v>0.25787037037037036</v>
      </c>
      <c r="M63" s="27">
        <f>L63-'Leg 3'!K28</f>
        <v>0.25787037037037036</v>
      </c>
      <c r="N63" s="1" t="str">
        <f>VLOOKUP(K63,Registration!$B$3:$C$77,2,FALSE)</f>
        <v>Corp</v>
      </c>
      <c r="O63" s="16">
        <f t="shared" si="2"/>
        <v>2.7144249512670564E-2</v>
      </c>
    </row>
    <row r="64" spans="1:15" x14ac:dyDescent="0.35">
      <c r="A64" s="1">
        <v>61</v>
      </c>
      <c r="B64" s="1">
        <v>5</v>
      </c>
      <c r="C64" s="27">
        <v>0.29878472222222224</v>
      </c>
      <c r="D64" s="27">
        <f>C64-'Leg 3'!C65</f>
        <v>7.1284722222222235E-2</v>
      </c>
      <c r="E64" s="1" t="str">
        <f>VLOOKUP(B64,Registration!$B$3:$C$77,2,FALSE)</f>
        <v>Men's</v>
      </c>
      <c r="F64" s="1"/>
      <c r="G64" s="16">
        <f t="shared" si="1"/>
        <v>7.5036549707602354E-3</v>
      </c>
      <c r="J64" s="1">
        <v>66</v>
      </c>
      <c r="K64" s="1">
        <v>67</v>
      </c>
      <c r="L64" s="27">
        <v>0.30646990740740737</v>
      </c>
      <c r="M64" s="27">
        <f>L64-'Leg 3'!K64</f>
        <v>0.30646990740740737</v>
      </c>
      <c r="N64" s="1" t="str">
        <f>VLOOKUP(K64,Registration!$B$3:$C$77,2,FALSE)</f>
        <v>Corp</v>
      </c>
      <c r="O64" s="16">
        <f t="shared" si="2"/>
        <v>3.2259990253411301E-2</v>
      </c>
    </row>
    <row r="65" spans="1:15" x14ac:dyDescent="0.35">
      <c r="A65" s="1">
        <v>62</v>
      </c>
      <c r="B65" s="1">
        <v>41</v>
      </c>
      <c r="C65" s="27">
        <v>0.2991550925925926</v>
      </c>
      <c r="D65" s="27">
        <f>C65-'Leg 3'!C68</f>
        <v>6.893518518518521E-2</v>
      </c>
      <c r="E65" s="1" t="str">
        <f>VLOOKUP(B65,Registration!$B$3:$C$77,2,FALSE)</f>
        <v>Mixed</v>
      </c>
      <c r="F65" s="1"/>
      <c r="G65" s="16">
        <f t="shared" si="1"/>
        <v>7.2563352826510745E-3</v>
      </c>
      <c r="J65" s="1">
        <v>63</v>
      </c>
      <c r="K65" s="1">
        <v>68</v>
      </c>
      <c r="L65" s="27">
        <v>0.30056712962962961</v>
      </c>
      <c r="M65" s="27">
        <f>L65-'Leg 3'!K64</f>
        <v>0.30056712962962961</v>
      </c>
      <c r="N65" s="1" t="str">
        <f>VLOOKUP(K65,Registration!$B$3:$C$77,2,FALSE)</f>
        <v>HS-Girls</v>
      </c>
      <c r="O65" s="16">
        <f t="shared" si="2"/>
        <v>3.1638645224171535E-2</v>
      </c>
    </row>
    <row r="66" spans="1:15" x14ac:dyDescent="0.35">
      <c r="A66" s="1">
        <v>63</v>
      </c>
      <c r="B66" s="1">
        <v>68</v>
      </c>
      <c r="C66" s="27">
        <v>0.30056712962962961</v>
      </c>
      <c r="D66" s="27">
        <f>C66-'Leg 3'!C64</f>
        <v>7.7696759259259229E-2</v>
      </c>
      <c r="E66" s="1" t="str">
        <f>VLOOKUP(B66,Registration!$B$3:$C$77,2,FALSE)</f>
        <v>HS-Girls</v>
      </c>
      <c r="F66" s="1"/>
      <c r="G66" s="16">
        <f t="shared" si="1"/>
        <v>8.1786062378167608E-3</v>
      </c>
      <c r="J66" s="1">
        <v>16</v>
      </c>
      <c r="K66" s="1">
        <v>69</v>
      </c>
      <c r="L66" s="27">
        <v>0.21512731481481481</v>
      </c>
      <c r="M66" s="27">
        <f>L66-'Leg 3'!K20</f>
        <v>0.21512731481481481</v>
      </c>
      <c r="N66" s="1" t="str">
        <f>VLOOKUP(K66,Registration!$B$3:$C$77,2,FALSE)</f>
        <v>HS -Boys</v>
      </c>
      <c r="O66" s="16">
        <f t="shared" si="2"/>
        <v>2.264498050682261E-2</v>
      </c>
    </row>
    <row r="67" spans="1:15" x14ac:dyDescent="0.35">
      <c r="A67" s="1">
        <v>64</v>
      </c>
      <c r="B67" s="1">
        <v>51</v>
      </c>
      <c r="C67" s="27">
        <v>0.30118055555555556</v>
      </c>
      <c r="D67" s="27">
        <f>C67-'Leg 3'!C65</f>
        <v>7.3680555555555555E-2</v>
      </c>
      <c r="E67" s="1" t="str">
        <f>VLOOKUP(B67,Registration!$B$3:$C$77,2,FALSE)</f>
        <v>Mixed</v>
      </c>
      <c r="F67" s="1"/>
      <c r="G67" s="16">
        <f t="shared" si="1"/>
        <v>7.7558479532163745E-3</v>
      </c>
      <c r="J67" s="1">
        <v>12</v>
      </c>
      <c r="K67" s="1">
        <v>70</v>
      </c>
      <c r="L67" s="27">
        <v>0.20843750000000003</v>
      </c>
      <c r="M67" s="27">
        <f>L67-'Leg 3'!K13</f>
        <v>0.20843750000000003</v>
      </c>
      <c r="N67" s="1" t="str">
        <f>VLOOKUP(K67,Registration!$B$3:$C$77,2,FALSE)</f>
        <v>HS-Boys</v>
      </c>
      <c r="O67" s="16">
        <f t="shared" si="2"/>
        <v>2.1940789473684212E-2</v>
      </c>
    </row>
    <row r="68" spans="1:15" x14ac:dyDescent="0.35">
      <c r="A68" s="1">
        <v>65</v>
      </c>
      <c r="B68" s="1">
        <v>40</v>
      </c>
      <c r="C68" s="27">
        <v>0.30186342592592591</v>
      </c>
      <c r="D68" s="27">
        <f>C68-'Leg 3'!C63</f>
        <v>8.2164351851851836E-2</v>
      </c>
      <c r="E68" s="1" t="str">
        <f>VLOOKUP(B68,Registration!$B$3:$C$77,2,FALSE)</f>
        <v>Mixed</v>
      </c>
      <c r="F68" s="1"/>
      <c r="G68" s="16">
        <f t="shared" si="1"/>
        <v>8.6488791423001924E-3</v>
      </c>
      <c r="J68" s="1">
        <v>13</v>
      </c>
      <c r="K68" s="1">
        <v>71</v>
      </c>
      <c r="L68" s="27">
        <v>0.21184027777777778</v>
      </c>
      <c r="M68" s="27">
        <f>L68-'Leg 3'!K17</f>
        <v>0.21184027777777778</v>
      </c>
      <c r="N68" s="1" t="str">
        <f>VLOOKUP(K68,Registration!$B$3:$C$77,2,FALSE)</f>
        <v>HS-Boys</v>
      </c>
      <c r="O68" s="16">
        <f t="shared" si="2"/>
        <v>2.2298976608187134E-2</v>
      </c>
    </row>
    <row r="69" spans="1:15" x14ac:dyDescent="0.35">
      <c r="A69" s="1">
        <v>66</v>
      </c>
      <c r="B69" s="1">
        <v>67</v>
      </c>
      <c r="C69" s="27">
        <v>0.30646990740740737</v>
      </c>
      <c r="D69" s="27">
        <f>C69-'Leg 3'!C64</f>
        <v>8.3599537037036986E-2</v>
      </c>
      <c r="E69" s="1" t="str">
        <f>VLOOKUP(B69,Registration!$B$3:$C$77,2,FALSE)</f>
        <v>Corp</v>
      </c>
      <c r="G69" s="16">
        <f t="shared" si="1"/>
        <v>8.7999512670565248E-3</v>
      </c>
      <c r="J69" s="1">
        <v>23</v>
      </c>
      <c r="K69" s="1">
        <v>72</v>
      </c>
      <c r="L69" s="27">
        <v>0.23012731481481483</v>
      </c>
      <c r="M69" s="27">
        <f>L69-'Leg 3'!K29</f>
        <v>0.23012731481481483</v>
      </c>
      <c r="N69" s="1" t="str">
        <f>VLOOKUP(K69,Registration!$B$3:$C$77,2,FALSE)</f>
        <v>HS-Boys</v>
      </c>
      <c r="O69" s="16">
        <f t="shared" si="2"/>
        <v>2.4223927875243665E-2</v>
      </c>
    </row>
    <row r="70" spans="1:15" x14ac:dyDescent="0.35">
      <c r="A70" s="1">
        <v>67</v>
      </c>
      <c r="B70" s="1">
        <v>53</v>
      </c>
      <c r="C70" s="27">
        <v>0.32143518518518516</v>
      </c>
      <c r="D70" s="27">
        <f>C70-'Leg 3'!C65</f>
        <v>9.3935185185185149E-2</v>
      </c>
      <c r="E70" s="1" t="str">
        <f>VLOOKUP(B70,Registration!$B$3:$C$77,2,FALSE)</f>
        <v>Mixed40+</v>
      </c>
      <c r="G70" s="16">
        <f t="shared" ref="G70:G77" si="3">D70/9.5</f>
        <v>9.887914230019489E-3</v>
      </c>
      <c r="J70" s="1">
        <v>5</v>
      </c>
      <c r="K70" s="1">
        <v>73</v>
      </c>
      <c r="L70" s="27">
        <v>0.18550925925925923</v>
      </c>
      <c r="M70" s="27">
        <f>L70-'Leg 3'!K6</f>
        <v>0.18550925925925923</v>
      </c>
      <c r="N70" s="1" t="str">
        <f>VLOOKUP(K70,Registration!$B$3:$C$77,2,FALSE)</f>
        <v>HS-Boys</v>
      </c>
      <c r="O70" s="16">
        <f t="shared" si="2"/>
        <v>1.9527290448343077E-2</v>
      </c>
    </row>
    <row r="71" spans="1:15" x14ac:dyDescent="0.35">
      <c r="A71" s="1">
        <v>68</v>
      </c>
      <c r="D71" s="27">
        <f>C71-'Leg 3'!C66</f>
        <v>-0.22792824074074072</v>
      </c>
      <c r="E71" s="1" t="e">
        <f>VLOOKUP(B71,Registration!$B$3:$C$77,2,FALSE)</f>
        <v>#N/A</v>
      </c>
      <c r="G71" s="16">
        <f t="shared" si="3"/>
        <v>-2.399244639376218E-2</v>
      </c>
    </row>
    <row r="72" spans="1:15" x14ac:dyDescent="0.35">
      <c r="A72" s="1">
        <v>69</v>
      </c>
      <c r="D72" s="27">
        <f>C72-'Leg 3'!C67</f>
        <v>-0.22989583333333333</v>
      </c>
      <c r="E72" s="1" t="e">
        <f>VLOOKUP(B72,Registration!$B$3:$C$77,2,FALSE)</f>
        <v>#N/A</v>
      </c>
      <c r="G72" s="16">
        <f t="shared" si="3"/>
        <v>-2.4199561403508773E-2</v>
      </c>
    </row>
    <row r="73" spans="1:15" x14ac:dyDescent="0.35">
      <c r="A73" s="1">
        <v>70</v>
      </c>
      <c r="D73" s="27">
        <f>C73-'Leg 3'!C68</f>
        <v>-0.23021990740740739</v>
      </c>
      <c r="E73" s="1" t="e">
        <f>VLOOKUP(B73,Registration!$B$3:$C$77,2,FALSE)</f>
        <v>#N/A</v>
      </c>
      <c r="G73" s="16">
        <f t="shared" si="3"/>
        <v>-2.4233674463937621E-2</v>
      </c>
    </row>
    <row r="74" spans="1:15" x14ac:dyDescent="0.35">
      <c r="A74" s="1">
        <v>71</v>
      </c>
      <c r="D74" s="27">
        <f>C74-'Leg 3'!C69</f>
        <v>-0.23575231481481482</v>
      </c>
      <c r="E74" s="1" t="e">
        <f>VLOOKUP(B74,Registration!$B$3:$C$77,2,FALSE)</f>
        <v>#N/A</v>
      </c>
      <c r="G74" s="16">
        <f t="shared" si="3"/>
        <v>-2.4816033138401559E-2</v>
      </c>
    </row>
    <row r="75" spans="1:15" x14ac:dyDescent="0.35">
      <c r="A75" s="1">
        <v>72</v>
      </c>
      <c r="D75" s="27">
        <f>C75-'Leg 3'!C70</f>
        <v>-0.23960648148148148</v>
      </c>
      <c r="E75" s="1" t="e">
        <f>VLOOKUP(B75,Registration!$B$3:$C$77,2,FALSE)</f>
        <v>#N/A</v>
      </c>
      <c r="G75" s="16">
        <f t="shared" si="3"/>
        <v>-2.5221734892787524E-2</v>
      </c>
    </row>
    <row r="76" spans="1:15" x14ac:dyDescent="0.35">
      <c r="A76" s="1">
        <v>73</v>
      </c>
      <c r="D76" s="27">
        <f>C76-'Leg 3'!C71</f>
        <v>-0.25269675925925927</v>
      </c>
      <c r="E76" s="1" t="e">
        <f>VLOOKUP(B76,Registration!$B$3:$C$77,2,FALSE)</f>
        <v>#N/A</v>
      </c>
      <c r="G76" s="16">
        <f t="shared" si="3"/>
        <v>-2.6599658869395713E-2</v>
      </c>
    </row>
    <row r="77" spans="1:15" x14ac:dyDescent="0.35">
      <c r="A77" s="1">
        <v>74</v>
      </c>
      <c r="D77" s="27">
        <f>C77-'Leg 3'!C72</f>
        <v>0</v>
      </c>
      <c r="E77" s="1" t="e">
        <f>VLOOKUP(B77,Registration!$B$3:$C$77,2,FALSE)</f>
        <v>#N/A</v>
      </c>
      <c r="G77" s="16">
        <f t="shared" si="3"/>
        <v>0</v>
      </c>
    </row>
  </sheetData>
  <sortState ref="J4:O70">
    <sortCondition ref="K4:K7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7"/>
  <sheetViews>
    <sheetView workbookViewId="0">
      <selection activeCell="G2" sqref="G2"/>
    </sheetView>
  </sheetViews>
  <sheetFormatPr defaultColWidth="8.81640625" defaultRowHeight="14.5" x14ac:dyDescent="0.35"/>
  <cols>
    <col min="1" max="1" width="6.36328125" style="1" customWidth="1"/>
    <col min="2" max="2" width="5.36328125" style="1" customWidth="1"/>
    <col min="3" max="3" width="10.6328125" style="27" customWidth="1"/>
    <col min="4" max="4" width="9.453125" style="27" customWidth="1"/>
    <col min="5" max="5" width="7" style="1" customWidth="1"/>
    <col min="7" max="7" width="10.36328125" customWidth="1"/>
  </cols>
  <sheetData>
    <row r="1" spans="1:7" ht="18.5" x14ac:dyDescent="0.45">
      <c r="A1" s="17" t="s">
        <v>13</v>
      </c>
      <c r="B1" s="19" t="s">
        <v>27</v>
      </c>
      <c r="C1" s="26"/>
      <c r="D1" s="26"/>
      <c r="E1" s="19"/>
      <c r="F1" s="5"/>
    </row>
    <row r="2" spans="1:7" ht="18.5" x14ac:dyDescent="0.45">
      <c r="B2" s="19"/>
      <c r="C2" s="26"/>
      <c r="D2" s="26"/>
      <c r="E2" s="19"/>
      <c r="F2" s="5"/>
      <c r="G2" s="34" t="s">
        <v>20</v>
      </c>
    </row>
    <row r="3" spans="1:7" ht="15.5" x14ac:dyDescent="0.35">
      <c r="A3" s="13" t="s">
        <v>16</v>
      </c>
      <c r="B3" s="6" t="s">
        <v>5</v>
      </c>
      <c r="C3" s="20" t="s">
        <v>15</v>
      </c>
      <c r="D3" s="20" t="s">
        <v>2</v>
      </c>
      <c r="E3" s="6" t="s">
        <v>0</v>
      </c>
      <c r="F3" s="9" t="s">
        <v>1</v>
      </c>
      <c r="G3" s="21" t="s">
        <v>17</v>
      </c>
    </row>
    <row r="4" spans="1:7" x14ac:dyDescent="0.35">
      <c r="A4" s="1">
        <v>1</v>
      </c>
      <c r="B4" s="1">
        <v>1</v>
      </c>
      <c r="C4" s="27">
        <v>0.20850694444444443</v>
      </c>
      <c r="D4" s="27">
        <f>C4-'Leg 4'!C4</f>
        <v>4.1562499999999974E-2</v>
      </c>
      <c r="E4" s="1" t="str">
        <f>VLOOKUP(B4,Registration!$B$3:$C$77,2,FALSE)</f>
        <v>Men's</v>
      </c>
      <c r="F4" s="1"/>
      <c r="G4" s="16">
        <f>D4/10.7</f>
        <v>3.8843457943925214E-3</v>
      </c>
    </row>
    <row r="5" spans="1:7" x14ac:dyDescent="0.35">
      <c r="A5" s="1">
        <v>2</v>
      </c>
      <c r="B5" s="1">
        <v>8</v>
      </c>
      <c r="C5" s="27">
        <v>0.21112268518518518</v>
      </c>
      <c r="D5" s="27">
        <f>C5-'Leg 4'!C5</f>
        <v>4.2476851851851821E-2</v>
      </c>
      <c r="E5" s="1" t="str">
        <f>VLOOKUP(B5,Registration!$B$3:$C$77,2,FALSE)</f>
        <v>Men's</v>
      </c>
      <c r="F5" s="1"/>
      <c r="G5" s="16">
        <f t="shared" ref="G5:G68" si="0">D5/10.7</f>
        <v>3.9697992384908247E-3</v>
      </c>
    </row>
    <row r="6" spans="1:7" x14ac:dyDescent="0.35">
      <c r="A6" s="1">
        <v>3</v>
      </c>
      <c r="B6" s="1">
        <v>3</v>
      </c>
      <c r="C6" s="27">
        <v>0.22912037037037036</v>
      </c>
      <c r="D6" s="27">
        <f>C6-'Leg 4'!C7</f>
        <v>4.3865740740740761E-2</v>
      </c>
      <c r="E6" s="1" t="str">
        <f>VLOOKUP(B6,Registration!$B$3:$C$77,2,FALSE)</f>
        <v>Men's</v>
      </c>
      <c r="F6" s="1"/>
      <c r="G6" s="16">
        <f t="shared" si="0"/>
        <v>4.0996019383869875E-3</v>
      </c>
    </row>
    <row r="7" spans="1:7" x14ac:dyDescent="0.35">
      <c r="A7" s="1">
        <v>4</v>
      </c>
      <c r="B7" s="1">
        <v>9</v>
      </c>
      <c r="C7" s="27">
        <v>0.23431712962962961</v>
      </c>
      <c r="D7" s="27">
        <f>C7-'Leg 4'!C6</f>
        <v>5.3576388888888854E-2</v>
      </c>
      <c r="E7" s="1" t="str">
        <f>VLOOKUP(B7,Registration!$B$3:$C$77,2,FALSE)</f>
        <v>Men's</v>
      </c>
      <c r="F7" s="1"/>
      <c r="G7" s="16">
        <f t="shared" si="0"/>
        <v>5.0071391484942862E-3</v>
      </c>
    </row>
    <row r="8" spans="1:7" x14ac:dyDescent="0.35">
      <c r="A8" s="1">
        <v>5</v>
      </c>
      <c r="B8" s="1">
        <v>73</v>
      </c>
      <c r="C8" s="27">
        <v>0.23518518518518516</v>
      </c>
      <c r="D8" s="27">
        <f>C8-'Leg 4'!C8</f>
        <v>4.9675925925925929E-2</v>
      </c>
      <c r="E8" s="1" t="str">
        <f>VLOOKUP(B8,Registration!$B$3:$C$77,2,FALSE)</f>
        <v>HS-Boys</v>
      </c>
      <c r="F8" s="1"/>
      <c r="G8" s="16">
        <f t="shared" si="0"/>
        <v>4.6426098996192461E-3</v>
      </c>
    </row>
    <row r="9" spans="1:7" x14ac:dyDescent="0.35">
      <c r="A9" s="1">
        <v>6</v>
      </c>
      <c r="B9" s="1">
        <v>10</v>
      </c>
      <c r="C9" s="27">
        <v>0.23578703703703704</v>
      </c>
      <c r="D9" s="27">
        <f>C9-'Leg 4'!C9</f>
        <v>4.6898148148148161E-2</v>
      </c>
      <c r="E9" s="1" t="str">
        <f>VLOOKUP(B9,Registration!$B$3:$C$77,2,FALSE)</f>
        <v>Men40+</v>
      </c>
      <c r="F9" s="1"/>
      <c r="G9" s="16">
        <f t="shared" si="0"/>
        <v>4.383004499826931E-3</v>
      </c>
    </row>
    <row r="10" spans="1:7" x14ac:dyDescent="0.35">
      <c r="A10" s="1">
        <v>7</v>
      </c>
      <c r="B10" s="1">
        <v>18</v>
      </c>
      <c r="C10" s="27">
        <v>0.24011574074074074</v>
      </c>
      <c r="D10" s="27">
        <f>C10-'Leg 4'!C11</f>
        <v>3.9224537037037044E-2</v>
      </c>
      <c r="E10" s="1" t="str">
        <f>VLOOKUP(B10,Registration!$B$3:$C$77,2,FALSE)</f>
        <v>Mixed</v>
      </c>
      <c r="F10" s="1"/>
      <c r="G10" s="16">
        <f t="shared" si="0"/>
        <v>3.6658445829006584E-3</v>
      </c>
    </row>
    <row r="11" spans="1:7" x14ac:dyDescent="0.35">
      <c r="A11" s="1">
        <v>8</v>
      </c>
      <c r="B11" s="1">
        <v>6</v>
      </c>
      <c r="C11" s="27">
        <v>0.2535648148148148</v>
      </c>
      <c r="D11" s="27">
        <f>C11-'Leg 4'!C10</f>
        <v>6.1238425925925905E-2</v>
      </c>
      <c r="E11" s="1" t="str">
        <f>VLOOKUP(B11,Registration!$B$3:$C$77,2,FALSE)</f>
        <v>Men's</v>
      </c>
      <c r="F11" s="1"/>
      <c r="G11" s="16">
        <f t="shared" si="0"/>
        <v>5.7232173762547574E-3</v>
      </c>
    </row>
    <row r="12" spans="1:7" x14ac:dyDescent="0.35">
      <c r="A12" s="1">
        <v>9</v>
      </c>
      <c r="B12" s="1">
        <v>16</v>
      </c>
      <c r="C12" s="27">
        <v>0.2535648148148148</v>
      </c>
      <c r="D12" s="27">
        <f>C12-'Leg 4'!C12</f>
        <v>4.9328703703703708E-2</v>
      </c>
      <c r="E12" s="1" t="str">
        <f>VLOOKUP(B12,Registration!$B$3:$C$77,2,FALSE)</f>
        <v>Womens</v>
      </c>
      <c r="F12" s="1"/>
      <c r="G12" s="16">
        <f t="shared" si="0"/>
        <v>4.6101592246452069E-3</v>
      </c>
    </row>
    <row r="13" spans="1:7" x14ac:dyDescent="0.35">
      <c r="A13" s="1">
        <v>10</v>
      </c>
      <c r="B13" s="1">
        <v>50</v>
      </c>
      <c r="C13" s="27">
        <v>0.25892361111111112</v>
      </c>
      <c r="D13" s="27">
        <f>C13-'Leg 4'!C15</f>
        <v>5.0486111111111093E-2</v>
      </c>
      <c r="E13" s="1" t="str">
        <f>VLOOKUP(B13,Registration!$B$3:$C$77,2,FALSE)</f>
        <v>Mixed</v>
      </c>
      <c r="F13" s="1"/>
      <c r="G13" s="16">
        <f t="shared" si="0"/>
        <v>4.718328141225336E-3</v>
      </c>
    </row>
    <row r="14" spans="1:7" x14ac:dyDescent="0.35">
      <c r="A14" s="1">
        <v>11</v>
      </c>
      <c r="B14" s="1">
        <v>21</v>
      </c>
      <c r="C14" s="27">
        <v>0.26197916666666665</v>
      </c>
      <c r="D14" s="27">
        <f>C14-'Leg 4'!C14</f>
        <v>5.4537037037037023E-2</v>
      </c>
      <c r="E14" s="1" t="str">
        <f>VLOOKUP(B14,Registration!$B$3:$C$77,2,FALSE)</f>
        <v>Womens</v>
      </c>
      <c r="F14" s="1"/>
      <c r="G14" s="16">
        <f t="shared" si="0"/>
        <v>5.0969193492557971E-3</v>
      </c>
    </row>
    <row r="15" spans="1:7" x14ac:dyDescent="0.35">
      <c r="A15" s="1">
        <v>12</v>
      </c>
      <c r="B15" s="1">
        <v>70</v>
      </c>
      <c r="C15" s="27">
        <v>0.26359953703703703</v>
      </c>
      <c r="D15" s="27">
        <f>C15-'Leg 4'!C19</f>
        <v>4.8472222222222222E-2</v>
      </c>
      <c r="E15" s="1" t="str">
        <f>VLOOKUP(B15,Registration!$B$3:$C$77,2,FALSE)</f>
        <v>HS-Boys</v>
      </c>
      <c r="F15" s="1"/>
      <c r="G15" s="16">
        <f t="shared" si="0"/>
        <v>4.5301142263759085E-3</v>
      </c>
    </row>
    <row r="16" spans="1:7" x14ac:dyDescent="0.35">
      <c r="A16" s="1">
        <v>13</v>
      </c>
      <c r="B16" s="1">
        <v>69</v>
      </c>
      <c r="C16" s="27">
        <v>0.26862268518518517</v>
      </c>
      <c r="D16" s="27">
        <f>C16-'Leg 4'!C16</f>
        <v>5.6782407407407393E-2</v>
      </c>
      <c r="E16" s="1" t="str">
        <f>VLOOKUP(B16,Registration!$B$3:$C$77,2,FALSE)</f>
        <v>HS -Boys</v>
      </c>
      <c r="F16" s="1"/>
      <c r="G16" s="16">
        <f t="shared" si="0"/>
        <v>5.3067670474212522E-3</v>
      </c>
    </row>
    <row r="17" spans="1:7" x14ac:dyDescent="0.35">
      <c r="A17" s="1">
        <v>14</v>
      </c>
      <c r="B17" s="1">
        <v>71</v>
      </c>
      <c r="C17" s="27">
        <v>0.27143518518518522</v>
      </c>
      <c r="D17" s="27">
        <f>C17-'Leg 4'!C13</f>
        <v>6.57291666666667E-2</v>
      </c>
      <c r="E17" s="1" t="str">
        <f>VLOOKUP(B17,Registration!$B$3:$C$77,2,FALSE)</f>
        <v>HS-Boys</v>
      </c>
      <c r="F17" s="1"/>
      <c r="G17" s="16">
        <f t="shared" si="0"/>
        <v>6.1429127725856729E-3</v>
      </c>
    </row>
    <row r="18" spans="1:7" x14ac:dyDescent="0.35">
      <c r="A18" s="1">
        <v>15</v>
      </c>
      <c r="B18" s="1">
        <v>37</v>
      </c>
      <c r="C18" s="27">
        <v>1.3180555555555555</v>
      </c>
      <c r="D18" s="27">
        <f>C18-'Leg 4'!C17</f>
        <v>1.1042939814814814</v>
      </c>
      <c r="E18" s="1" t="str">
        <f>VLOOKUP(B18,Registration!$B$3:$C$77,2,FALSE)</f>
        <v>Mixed</v>
      </c>
      <c r="F18" s="1"/>
      <c r="G18" s="16">
        <f t="shared" si="0"/>
        <v>0.1032050449982693</v>
      </c>
    </row>
    <row r="19" spans="1:7" x14ac:dyDescent="0.35">
      <c r="A19" s="1">
        <v>16</v>
      </c>
      <c r="B19" s="1">
        <v>52</v>
      </c>
      <c r="C19" s="27">
        <v>0.27371527777777777</v>
      </c>
      <c r="D19" s="27">
        <f>C19-'Leg 4'!C21</f>
        <v>5.4664351851851839E-2</v>
      </c>
      <c r="E19" s="1" t="str">
        <f>VLOOKUP(B19,Registration!$B$3:$C$77,2,FALSE)</f>
        <v>Men's</v>
      </c>
      <c r="F19" s="1"/>
      <c r="G19" s="16">
        <f t="shared" si="0"/>
        <v>5.1088179300796113E-3</v>
      </c>
    </row>
    <row r="20" spans="1:7" x14ac:dyDescent="0.35">
      <c r="A20" s="1">
        <v>17</v>
      </c>
      <c r="B20" s="1">
        <v>26</v>
      </c>
      <c r="C20" s="27">
        <v>0.2757175925925926</v>
      </c>
      <c r="D20" s="27">
        <f>C20-'Leg 4'!C20</f>
        <v>5.6689814814814804E-2</v>
      </c>
      <c r="E20" s="1" t="str">
        <f>VLOOKUP(B20,Registration!$B$3:$C$77,2,FALSE)</f>
        <v>Mixed</v>
      </c>
      <c r="F20" s="1"/>
      <c r="G20" s="16">
        <f t="shared" si="0"/>
        <v>5.2981135340948423E-3</v>
      </c>
    </row>
    <row r="21" spans="1:7" x14ac:dyDescent="0.35">
      <c r="A21" s="1">
        <v>18</v>
      </c>
      <c r="B21" s="1">
        <v>55</v>
      </c>
      <c r="C21" s="27">
        <v>0.27656249999999999</v>
      </c>
      <c r="D21" s="27">
        <f>C21-'Leg 4'!C18</f>
        <v>6.2222222222222207E-2</v>
      </c>
      <c r="E21" s="1" t="str">
        <f>VLOOKUP(B21,Registration!$B$3:$C$77,2,FALSE)</f>
        <v>Mixed40+</v>
      </c>
      <c r="F21" s="1"/>
      <c r="G21" s="16">
        <f t="shared" si="0"/>
        <v>5.81516095534787E-3</v>
      </c>
    </row>
    <row r="22" spans="1:7" x14ac:dyDescent="0.35">
      <c r="A22" s="1">
        <v>19</v>
      </c>
      <c r="B22" s="1">
        <v>25</v>
      </c>
      <c r="C22" s="27">
        <v>0.2840625</v>
      </c>
      <c r="D22" s="27">
        <f>C22-'Leg 4'!C24</f>
        <v>5.8796296296296319E-2</v>
      </c>
      <c r="E22" s="1" t="str">
        <f>VLOOKUP(B22,Registration!$B$3:$C$77,2,FALSE)</f>
        <v>Mixed</v>
      </c>
      <c r="F22" s="1"/>
      <c r="G22" s="16">
        <f t="shared" si="0"/>
        <v>5.4949809622706841E-3</v>
      </c>
    </row>
    <row r="23" spans="1:7" x14ac:dyDescent="0.35">
      <c r="A23" s="1">
        <v>20</v>
      </c>
      <c r="B23" s="1">
        <v>43</v>
      </c>
      <c r="C23" s="27">
        <v>0.28664351851851849</v>
      </c>
      <c r="D23" s="27">
        <f>C23-'Leg 4'!C22</f>
        <v>6.5115740740740724E-2</v>
      </c>
      <c r="E23" s="1" t="str">
        <f>VLOOKUP(B23,Registration!$B$3:$C$77,2,FALSE)</f>
        <v>Mixed</v>
      </c>
      <c r="F23" s="1"/>
      <c r="G23" s="16">
        <f t="shared" si="0"/>
        <v>6.0855832467981985E-3</v>
      </c>
    </row>
    <row r="24" spans="1:7" x14ac:dyDescent="0.35">
      <c r="A24" s="1">
        <v>21</v>
      </c>
      <c r="B24" s="1">
        <v>22</v>
      </c>
      <c r="C24" s="27">
        <v>0.28670138888888891</v>
      </c>
      <c r="D24" s="27">
        <f>C24-'Leg 4'!C23</f>
        <v>6.4687500000000037E-2</v>
      </c>
      <c r="E24" s="1" t="str">
        <f>VLOOKUP(B24,Registration!$B$3:$C$77,2,FALSE)</f>
        <v>Wmn 40+</v>
      </c>
      <c r="F24" s="1"/>
      <c r="G24" s="16">
        <f t="shared" si="0"/>
        <v>6.0455607476635554E-3</v>
      </c>
    </row>
    <row r="25" spans="1:7" x14ac:dyDescent="0.35">
      <c r="A25" s="1">
        <v>22</v>
      </c>
      <c r="B25" s="1">
        <v>60</v>
      </c>
      <c r="C25" s="27">
        <v>0.28923611111111108</v>
      </c>
      <c r="D25" s="27">
        <f>C25-'Leg 4'!C27</f>
        <v>5.7847222222222189E-2</v>
      </c>
      <c r="E25" s="1" t="str">
        <f>VLOOKUP(B25,Registration!$B$3:$C$77,2,FALSE)</f>
        <v>Corp</v>
      </c>
      <c r="F25" s="1"/>
      <c r="G25" s="16">
        <f t="shared" si="0"/>
        <v>5.4062824506749714E-3</v>
      </c>
    </row>
    <row r="26" spans="1:7" x14ac:dyDescent="0.35">
      <c r="A26" s="1">
        <v>23</v>
      </c>
      <c r="B26" s="1">
        <v>72</v>
      </c>
      <c r="C26" s="27">
        <v>0.29138888888888886</v>
      </c>
      <c r="D26" s="27">
        <f>C26-'Leg 4'!C26</f>
        <v>6.1261574074074038E-2</v>
      </c>
      <c r="E26" s="1" t="str">
        <f>VLOOKUP(B26,Registration!$B$3:$C$77,2,FALSE)</f>
        <v>HS-Boys</v>
      </c>
      <c r="F26" s="1"/>
      <c r="G26" s="16">
        <f t="shared" si="0"/>
        <v>5.7253807545863591E-3</v>
      </c>
    </row>
    <row r="27" spans="1:7" x14ac:dyDescent="0.35">
      <c r="A27" s="1">
        <v>24</v>
      </c>
      <c r="B27" s="1">
        <v>24</v>
      </c>
      <c r="C27" s="27">
        <v>0.29696759259259259</v>
      </c>
      <c r="D27" s="27">
        <f>C27-'Leg 4'!C25</f>
        <v>6.8472222222222212E-2</v>
      </c>
      <c r="E27" s="1" t="str">
        <f>VLOOKUP(B27,Registration!$B$3:$C$77,2,FALSE)</f>
        <v>Mixed</v>
      </c>
      <c r="F27" s="1"/>
      <c r="G27" s="16">
        <f t="shared" si="0"/>
        <v>6.3992731048805812E-3</v>
      </c>
    </row>
    <row r="28" spans="1:7" x14ac:dyDescent="0.35">
      <c r="A28" s="1">
        <v>25</v>
      </c>
      <c r="B28" s="1">
        <v>12</v>
      </c>
      <c r="C28" s="27">
        <v>0.29834490740740743</v>
      </c>
      <c r="D28" s="27">
        <f>C28-'Leg 4'!C28</f>
        <v>6.6875000000000046E-2</v>
      </c>
      <c r="E28" s="1" t="str">
        <f>VLOOKUP(B28,Registration!$B$3:$C$77,2,FALSE)</f>
        <v>Men50+</v>
      </c>
      <c r="F28" s="1"/>
      <c r="G28" s="16">
        <f t="shared" si="0"/>
        <v>6.2500000000000047E-3</v>
      </c>
    </row>
    <row r="29" spans="1:7" x14ac:dyDescent="0.35">
      <c r="A29" s="1">
        <v>26</v>
      </c>
      <c r="B29" s="1">
        <v>35</v>
      </c>
      <c r="C29" s="27">
        <v>0.30054398148148148</v>
      </c>
      <c r="D29" s="27">
        <f>C29-'Leg 4'!C40</f>
        <v>5.1944444444444432E-2</v>
      </c>
      <c r="E29" s="1" t="str">
        <f>VLOOKUP(B29,Registration!$B$3:$C$77,2,FALSE)</f>
        <v>Mixed</v>
      </c>
      <c r="F29" s="1"/>
      <c r="G29" s="16">
        <f t="shared" si="0"/>
        <v>4.854620976116302E-3</v>
      </c>
    </row>
    <row r="30" spans="1:7" x14ac:dyDescent="0.35">
      <c r="A30" s="1">
        <v>27</v>
      </c>
      <c r="B30" s="1">
        <v>11</v>
      </c>
      <c r="C30" s="27">
        <v>0.3006597222222222</v>
      </c>
      <c r="D30" s="27">
        <f>C30-'Leg 4'!C30</f>
        <v>6.4062499999999967E-2</v>
      </c>
      <c r="E30" s="1" t="str">
        <f>VLOOKUP(B30,Registration!$B$3:$C$77,2,FALSE)</f>
        <v>Men50+</v>
      </c>
      <c r="F30" s="1"/>
      <c r="G30" s="16">
        <f t="shared" si="0"/>
        <v>5.9871495327102776E-3</v>
      </c>
    </row>
    <row r="31" spans="1:7" x14ac:dyDescent="0.35">
      <c r="A31" s="1">
        <v>28</v>
      </c>
      <c r="B31" s="1">
        <v>19</v>
      </c>
      <c r="C31" s="27">
        <v>0.30274305555555553</v>
      </c>
      <c r="D31" s="27">
        <f>C31-'Leg 4'!C34</f>
        <v>6.0138888888888881E-2</v>
      </c>
      <c r="E31" s="1" t="str">
        <f>VLOOKUP(B31,Registration!$B$3:$C$77,2,FALSE)</f>
        <v>Womens</v>
      </c>
      <c r="F31" s="1"/>
      <c r="G31" s="16">
        <f t="shared" si="0"/>
        <v>5.6204569055036341E-3</v>
      </c>
    </row>
    <row r="32" spans="1:7" x14ac:dyDescent="0.35">
      <c r="A32" s="1">
        <v>29</v>
      </c>
      <c r="B32" s="1">
        <v>31</v>
      </c>
      <c r="C32" s="27">
        <v>0.3028703703703704</v>
      </c>
      <c r="D32" s="27">
        <f>C32-'Leg 4'!C37</f>
        <v>5.7060185185185214E-2</v>
      </c>
      <c r="E32" s="1" t="str">
        <f>VLOOKUP(B32,Registration!$B$3:$C$77,2,FALSE)</f>
        <v>Mixed</v>
      </c>
      <c r="F32" s="1"/>
      <c r="G32" s="16">
        <f t="shared" si="0"/>
        <v>5.3327275874004874E-3</v>
      </c>
    </row>
    <row r="33" spans="1:7" x14ac:dyDescent="0.35">
      <c r="A33" s="1">
        <v>30</v>
      </c>
      <c r="B33" s="1">
        <v>36</v>
      </c>
      <c r="C33" s="27">
        <v>0.30312500000000003</v>
      </c>
      <c r="D33" s="27">
        <f>C33-'Leg 4'!C31</f>
        <v>6.2569444444444483E-2</v>
      </c>
      <c r="E33" s="1" t="str">
        <f>VLOOKUP(B33,Registration!$B$3:$C$77,2,FALSE)</f>
        <v>Mixed</v>
      </c>
      <c r="F33" s="1"/>
      <c r="G33" s="16">
        <f t="shared" si="0"/>
        <v>5.8476116303219144E-3</v>
      </c>
    </row>
    <row r="34" spans="1:7" x14ac:dyDescent="0.35">
      <c r="A34" s="1">
        <v>31</v>
      </c>
      <c r="B34" s="1">
        <v>34</v>
      </c>
      <c r="C34" s="27">
        <v>0.30585648148148148</v>
      </c>
      <c r="D34" s="27">
        <f>C34-'Leg 4'!C33</f>
        <v>6.4432870370370376E-2</v>
      </c>
      <c r="E34" s="1" t="str">
        <f>VLOOKUP(B34,Registration!$B$3:$C$77,2,FALSE)</f>
        <v>Mixed</v>
      </c>
      <c r="F34" s="1"/>
      <c r="G34" s="16">
        <f t="shared" si="0"/>
        <v>6.0217635860159236E-3</v>
      </c>
    </row>
    <row r="35" spans="1:7" x14ac:dyDescent="0.35">
      <c r="A35" s="1">
        <v>32</v>
      </c>
      <c r="B35" s="1">
        <v>39</v>
      </c>
      <c r="C35" s="27">
        <v>0.30733796296296295</v>
      </c>
      <c r="D35" s="27">
        <f>C35-'Leg 4'!C32</f>
        <v>6.6064814814814798E-2</v>
      </c>
      <c r="E35" s="1" t="str">
        <f>VLOOKUP(B35,Registration!$B$3:$C$77,2,FALSE)</f>
        <v>Mixed</v>
      </c>
      <c r="F35" s="1"/>
      <c r="G35" s="16">
        <f t="shared" si="0"/>
        <v>6.1742817583939069E-3</v>
      </c>
    </row>
    <row r="36" spans="1:7" x14ac:dyDescent="0.35">
      <c r="A36" s="1">
        <v>33</v>
      </c>
      <c r="B36" s="1">
        <v>65</v>
      </c>
      <c r="C36" s="27">
        <v>0.31119212962962967</v>
      </c>
      <c r="D36" s="27">
        <f>C36-'Leg 4'!C29</f>
        <v>7.7106481481481526E-2</v>
      </c>
      <c r="E36" s="1" t="str">
        <f>VLOOKUP(B36,Registration!$B$3:$C$77,2,FALSE)</f>
        <v>Corp</v>
      </c>
      <c r="F36" s="1"/>
      <c r="G36" s="16">
        <f t="shared" si="0"/>
        <v>7.2062132225683678E-3</v>
      </c>
    </row>
    <row r="37" spans="1:7" x14ac:dyDescent="0.35">
      <c r="A37" s="1">
        <v>34</v>
      </c>
      <c r="B37" s="1">
        <v>38</v>
      </c>
      <c r="C37" s="27">
        <v>0.31194444444444441</v>
      </c>
      <c r="D37" s="27">
        <f>C37-'Leg 4'!C39</f>
        <v>6.3854166666666629E-2</v>
      </c>
      <c r="E37" s="1" t="str">
        <f>VLOOKUP(B37,Registration!$B$3:$C$77,2,FALSE)</f>
        <v>Mixed</v>
      </c>
      <c r="F37" s="1"/>
      <c r="G37" s="16">
        <f t="shared" si="0"/>
        <v>5.9676791277258534E-3</v>
      </c>
    </row>
    <row r="38" spans="1:7" x14ac:dyDescent="0.35">
      <c r="A38" s="1">
        <v>35</v>
      </c>
      <c r="B38" s="1">
        <v>62</v>
      </c>
      <c r="C38" s="27">
        <v>0.31219907407407405</v>
      </c>
      <c r="D38" s="27">
        <f>C38-'Leg 4'!C36</f>
        <v>6.7407407407407388E-2</v>
      </c>
      <c r="E38" s="1" t="str">
        <f>VLOOKUP(B38,Registration!$B$3:$C$77,2,FALSE)</f>
        <v>Corp</v>
      </c>
      <c r="F38" s="1"/>
      <c r="G38" s="16">
        <f t="shared" si="0"/>
        <v>6.2997577016268595E-3</v>
      </c>
    </row>
    <row r="39" spans="1:7" x14ac:dyDescent="0.35">
      <c r="A39" s="1">
        <v>36</v>
      </c>
      <c r="B39" s="1">
        <v>30</v>
      </c>
      <c r="C39" s="27">
        <v>0.31354166666666666</v>
      </c>
      <c r="D39" s="27">
        <f>C39-'Leg 4'!C35</f>
        <v>6.961805555555553E-2</v>
      </c>
      <c r="E39" s="1" t="str">
        <f>VLOOKUP(B39,Registration!$B$3:$C$77,2,FALSE)</f>
        <v>Mixed</v>
      </c>
      <c r="F39" s="1"/>
      <c r="G39" s="16">
        <f t="shared" si="0"/>
        <v>6.5063603322949096E-3</v>
      </c>
    </row>
    <row r="40" spans="1:7" x14ac:dyDescent="0.35">
      <c r="A40" s="1">
        <v>37</v>
      </c>
      <c r="B40" s="1">
        <v>63</v>
      </c>
      <c r="C40" s="27">
        <v>0.31516203703703705</v>
      </c>
      <c r="D40" s="27">
        <f>C40-'Leg 4'!C41</f>
        <v>6.6469907407407436E-2</v>
      </c>
      <c r="E40" s="1" t="str">
        <f>VLOOKUP(B40,Registration!$B$3:$C$77,2,FALSE)</f>
        <v>Corp</v>
      </c>
      <c r="F40" s="1"/>
      <c r="G40" s="16">
        <f t="shared" si="0"/>
        <v>6.2121408791969571E-3</v>
      </c>
    </row>
    <row r="41" spans="1:7" x14ac:dyDescent="0.35">
      <c r="A41" s="1">
        <v>38</v>
      </c>
      <c r="B41" s="1">
        <v>29</v>
      </c>
      <c r="C41" s="27">
        <v>0.31644675925925925</v>
      </c>
      <c r="D41" s="27">
        <f>C41-'Leg 4'!C38</f>
        <v>6.8807870370370366E-2</v>
      </c>
      <c r="E41" s="1" t="str">
        <f>VLOOKUP(B41,Registration!$B$3:$C$77,2,FALSE)</f>
        <v>Mixed</v>
      </c>
      <c r="F41" s="1"/>
      <c r="G41" s="16">
        <f t="shared" si="0"/>
        <v>6.4306420906888196E-3</v>
      </c>
    </row>
    <row r="42" spans="1:7" x14ac:dyDescent="0.35">
      <c r="A42" s="1">
        <v>39</v>
      </c>
      <c r="B42" s="1">
        <v>66</v>
      </c>
      <c r="C42" s="27">
        <v>0.31653935185185184</v>
      </c>
      <c r="D42" s="27">
        <f>C42-'Leg 4'!C46</f>
        <v>6.0787037037037028E-2</v>
      </c>
      <c r="E42" s="1" t="str">
        <f>VLOOKUP(B42,Registration!$B$3:$C$77,2,FALSE)</f>
        <v>Corp</v>
      </c>
      <c r="F42" s="1"/>
      <c r="G42" s="16">
        <f t="shared" si="0"/>
        <v>5.6810314987885075E-3</v>
      </c>
    </row>
    <row r="43" spans="1:7" x14ac:dyDescent="0.35">
      <c r="A43" s="1">
        <v>40</v>
      </c>
      <c r="B43" s="1">
        <v>51</v>
      </c>
      <c r="C43" s="27">
        <v>0.31736111111111115</v>
      </c>
      <c r="D43" s="27">
        <f>C43-'Leg 4'!C47</f>
        <v>6.0706018518518534E-2</v>
      </c>
      <c r="E43" s="1" t="str">
        <f>VLOOKUP(B43,Registration!$B$3:$C$77,2,FALSE)</f>
        <v>Mixed</v>
      </c>
      <c r="F43" s="1"/>
      <c r="G43" s="16">
        <f t="shared" si="0"/>
        <v>5.6734596746279009E-3</v>
      </c>
    </row>
    <row r="44" spans="1:7" x14ac:dyDescent="0.35">
      <c r="A44" s="1">
        <v>41</v>
      </c>
      <c r="B44" s="1">
        <v>47</v>
      </c>
      <c r="C44" s="27">
        <v>0.31765046296296295</v>
      </c>
      <c r="D44" s="27">
        <f>C44-'Leg 4'!C45</f>
        <v>6.5219907407407407E-2</v>
      </c>
      <c r="E44" s="1" t="str">
        <f>VLOOKUP(B44,Registration!$B$3:$C$77,2,FALSE)</f>
        <v>Mixed</v>
      </c>
      <c r="F44" s="1"/>
      <c r="G44" s="16">
        <f t="shared" si="0"/>
        <v>6.0953184492904119E-3</v>
      </c>
    </row>
    <row r="45" spans="1:7" x14ac:dyDescent="0.35">
      <c r="A45" s="1">
        <v>42</v>
      </c>
      <c r="B45" s="1">
        <v>28</v>
      </c>
      <c r="C45" s="27">
        <v>0.3178125</v>
      </c>
      <c r="D45" s="27">
        <f>C45-'Leg 4'!C42</f>
        <v>6.8182870370370352E-2</v>
      </c>
      <c r="E45" s="1" t="str">
        <f>VLOOKUP(B45,Registration!$B$3:$C$77,2,FALSE)</f>
        <v>Mixed</v>
      </c>
      <c r="F45" s="1"/>
      <c r="G45" s="16">
        <f t="shared" si="0"/>
        <v>6.372230875735547E-3</v>
      </c>
    </row>
    <row r="46" spans="1:7" x14ac:dyDescent="0.35">
      <c r="A46" s="1">
        <v>43</v>
      </c>
      <c r="B46" s="1">
        <v>32</v>
      </c>
      <c r="C46" s="27">
        <v>0.31893518518518521</v>
      </c>
      <c r="D46" s="27">
        <f>C46-'Leg 4'!C44</f>
        <v>6.8541666666666723E-2</v>
      </c>
      <c r="E46" s="1" t="str">
        <f>VLOOKUP(B46,Registration!$B$3:$C$77,2,FALSE)</f>
        <v>Mixed</v>
      </c>
      <c r="F46" s="1"/>
      <c r="G46" s="16">
        <f t="shared" si="0"/>
        <v>6.4057632398753948E-3</v>
      </c>
    </row>
    <row r="47" spans="1:7" x14ac:dyDescent="0.35">
      <c r="A47" s="1">
        <v>44</v>
      </c>
      <c r="B47" s="1">
        <v>57</v>
      </c>
      <c r="C47" s="27">
        <v>0.32337962962962963</v>
      </c>
      <c r="D47" s="27">
        <f>C47-'Leg 4'!C48</f>
        <v>6.6412037037037019E-2</v>
      </c>
      <c r="E47" s="1" t="str">
        <f>VLOOKUP(B47,Registration!$B$3:$C$77,2,FALSE)</f>
        <v>Mixed40+</v>
      </c>
      <c r="F47" s="1"/>
      <c r="G47" s="16">
        <f t="shared" si="0"/>
        <v>6.2067324333679461E-3</v>
      </c>
    </row>
    <row r="48" spans="1:7" x14ac:dyDescent="0.35">
      <c r="A48" s="1">
        <v>45</v>
      </c>
      <c r="B48" s="1">
        <v>45</v>
      </c>
      <c r="C48" s="27">
        <v>0.32506944444444447</v>
      </c>
      <c r="D48" s="27">
        <f>C48-'Leg 4'!C43</f>
        <v>7.4722222222222245E-2</v>
      </c>
      <c r="E48" s="1" t="str">
        <f>VLOOKUP(B48,Registration!$B$3:$C$77,2,FALSE)</f>
        <v>Mixed</v>
      </c>
      <c r="F48" s="1"/>
      <c r="G48" s="16">
        <f t="shared" si="0"/>
        <v>6.9833852544132942E-3</v>
      </c>
    </row>
    <row r="49" spans="1:7" x14ac:dyDescent="0.35">
      <c r="A49" s="1">
        <v>46</v>
      </c>
      <c r="B49" s="1">
        <v>56</v>
      </c>
      <c r="C49" s="27">
        <v>0.32703703703703701</v>
      </c>
      <c r="D49" s="27">
        <f>C49-'Leg 4'!C53</f>
        <v>6.228009259259254E-2</v>
      </c>
      <c r="E49" s="1" t="str">
        <f>VLOOKUP(B49,Registration!$B$3:$C$77,2,FALSE)</f>
        <v>Mixed40+</v>
      </c>
      <c r="F49" s="1"/>
      <c r="G49" s="16">
        <f t="shared" si="0"/>
        <v>5.8205694011768732E-3</v>
      </c>
    </row>
    <row r="50" spans="1:7" x14ac:dyDescent="0.35">
      <c r="A50" s="1">
        <v>47</v>
      </c>
      <c r="B50" s="1">
        <v>13</v>
      </c>
      <c r="C50" s="27">
        <v>0.32709490740740738</v>
      </c>
      <c r="D50" s="27">
        <f>C50-'Leg 4'!C51</f>
        <v>6.5925925925925888E-2</v>
      </c>
      <c r="E50" s="1" t="str">
        <f>VLOOKUP(B50,Registration!$B$3:$C$77,2,FALSE)</f>
        <v>Ultra</v>
      </c>
      <c r="F50" s="1"/>
      <c r="G50" s="16">
        <f t="shared" si="0"/>
        <v>6.1613014884042893E-3</v>
      </c>
    </row>
    <row r="51" spans="1:7" x14ac:dyDescent="0.35">
      <c r="A51" s="1">
        <v>48</v>
      </c>
      <c r="B51" s="1">
        <v>58</v>
      </c>
      <c r="C51" s="27">
        <v>0.3298726851851852</v>
      </c>
      <c r="D51" s="27">
        <f>C51-'Leg 4'!C50</f>
        <v>7.0787037037037037E-2</v>
      </c>
      <c r="E51" s="1" t="str">
        <f>VLOOKUP(B51,Registration!$B$3:$C$77,2,FALSE)</f>
        <v>Mixed40+</v>
      </c>
      <c r="F51" s="1"/>
      <c r="G51" s="16">
        <f t="shared" si="0"/>
        <v>6.6156109380408447E-3</v>
      </c>
    </row>
    <row r="52" spans="1:7" x14ac:dyDescent="0.35">
      <c r="A52" s="1">
        <v>49</v>
      </c>
      <c r="B52" s="1">
        <v>49</v>
      </c>
      <c r="C52" s="27">
        <v>0.33175925925925925</v>
      </c>
      <c r="D52" s="27">
        <f>C52-'Leg 4'!C52</f>
        <v>6.7939814814814814E-2</v>
      </c>
      <c r="E52" s="1" t="str">
        <f>VLOOKUP(B52,Registration!$B$3:$C$77,2,FALSE)</f>
        <v>Mixed</v>
      </c>
      <c r="F52" s="1"/>
      <c r="G52" s="16">
        <f t="shared" si="0"/>
        <v>6.3495154032537212E-3</v>
      </c>
    </row>
    <row r="53" spans="1:7" x14ac:dyDescent="0.35">
      <c r="A53" s="1">
        <v>50</v>
      </c>
      <c r="B53" s="1">
        <v>64</v>
      </c>
      <c r="C53" s="27">
        <v>0.33307870370370368</v>
      </c>
      <c r="D53" s="27">
        <f>C53-'Leg 4'!C55</f>
        <v>6.4270833333333277E-2</v>
      </c>
      <c r="E53" s="1" t="str">
        <f>VLOOKUP(B53,Registration!$B$3:$C$77,2,FALSE)</f>
        <v>Corp</v>
      </c>
      <c r="F53" s="1"/>
      <c r="G53" s="16">
        <f t="shared" si="0"/>
        <v>6.0066199376946992E-3</v>
      </c>
    </row>
    <row r="54" spans="1:7" x14ac:dyDescent="0.35">
      <c r="A54" s="1">
        <v>51</v>
      </c>
      <c r="B54" s="1">
        <v>27</v>
      </c>
      <c r="C54" s="27">
        <v>0.33386574074074077</v>
      </c>
      <c r="D54" s="27">
        <f>C54-'Leg 4'!C61</f>
        <v>4.7430555555555587E-2</v>
      </c>
      <c r="E54" s="1" t="str">
        <f>VLOOKUP(B54,Registration!$B$3:$C$77,2,FALSE)</f>
        <v>Mixed</v>
      </c>
      <c r="F54" s="1"/>
      <c r="G54" s="16">
        <f t="shared" si="0"/>
        <v>4.4327622014537936E-3</v>
      </c>
    </row>
    <row r="55" spans="1:7" x14ac:dyDescent="0.35">
      <c r="A55" s="1">
        <v>52</v>
      </c>
      <c r="B55" s="1">
        <v>17</v>
      </c>
      <c r="C55" s="27">
        <v>0.33424768518518522</v>
      </c>
      <c r="D55" s="27">
        <f>C55-'Leg 4'!C58</f>
        <v>5.7175925925925963E-2</v>
      </c>
      <c r="E55" s="1" t="str">
        <f>VLOOKUP(B55,Registration!$B$3:$C$77,2,FALSE)</f>
        <v>Womens</v>
      </c>
      <c r="F55" s="1"/>
      <c r="G55" s="16">
        <f t="shared" si="0"/>
        <v>5.3435444790585016E-3</v>
      </c>
    </row>
    <row r="56" spans="1:7" x14ac:dyDescent="0.35">
      <c r="A56" s="1">
        <v>53</v>
      </c>
      <c r="B56" s="1">
        <v>42</v>
      </c>
      <c r="C56" s="27">
        <v>0.33885416666666668</v>
      </c>
      <c r="D56" s="27">
        <f>C56-'Leg 4'!C59</f>
        <v>6.0509259259259263E-2</v>
      </c>
      <c r="E56" s="1" t="str">
        <f>VLOOKUP(B56,Registration!$B$3:$C$77,2,FALSE)</f>
        <v>Mixed</v>
      </c>
      <c r="F56" s="1"/>
      <c r="G56" s="16">
        <f t="shared" si="0"/>
        <v>5.6550709588092775E-3</v>
      </c>
    </row>
    <row r="57" spans="1:7" x14ac:dyDescent="0.35">
      <c r="A57" s="1">
        <v>54</v>
      </c>
      <c r="B57" s="1">
        <v>23</v>
      </c>
      <c r="C57" s="27">
        <v>0.34993055555555558</v>
      </c>
      <c r="D57" s="27">
        <f>C57-'Leg 4'!C63</f>
        <v>5.7372685185185235E-2</v>
      </c>
      <c r="E57" s="1" t="str">
        <f>VLOOKUP(B57,Registration!$B$3:$C$77,2,FALSE)</f>
        <v>Mixed</v>
      </c>
      <c r="F57" s="1"/>
      <c r="G57" s="16">
        <f t="shared" si="0"/>
        <v>5.361933194877125E-3</v>
      </c>
    </row>
    <row r="58" spans="1:7" x14ac:dyDescent="0.35">
      <c r="A58" s="1">
        <v>55</v>
      </c>
      <c r="B58" s="1">
        <v>7</v>
      </c>
      <c r="C58" s="27">
        <v>0.35121527777777778</v>
      </c>
      <c r="D58" s="27">
        <f>C58-'Leg 4'!C60</f>
        <v>6.670138888888888E-2</v>
      </c>
      <c r="E58" s="1" t="str">
        <f>VLOOKUP(B58,Registration!$B$3:$C$77,2,FALSE)</f>
        <v>Men's</v>
      </c>
      <c r="F58" s="1"/>
      <c r="G58" s="16">
        <f t="shared" si="0"/>
        <v>6.2337746625129795E-3</v>
      </c>
    </row>
    <row r="59" spans="1:7" x14ac:dyDescent="0.35">
      <c r="A59" s="1">
        <v>56</v>
      </c>
      <c r="B59" s="1">
        <v>47</v>
      </c>
      <c r="C59" s="27">
        <v>0.35931712962962964</v>
      </c>
      <c r="D59" s="27">
        <f>C59-'Leg 4'!C56</f>
        <v>8.9178240740740766E-2</v>
      </c>
      <c r="E59" s="1" t="str">
        <f>VLOOKUP(B59,Registration!$B$3:$C$77,2,FALSE)</f>
        <v>Mixed</v>
      </c>
      <c r="F59" s="1"/>
      <c r="G59" s="16">
        <f t="shared" si="0"/>
        <v>8.3344150224991375E-3</v>
      </c>
    </row>
    <row r="60" spans="1:7" x14ac:dyDescent="0.35">
      <c r="A60" s="1">
        <v>57</v>
      </c>
      <c r="B60" s="1">
        <v>14</v>
      </c>
      <c r="C60" s="27">
        <v>0.36462962962962964</v>
      </c>
      <c r="D60" s="27">
        <f>C60-'Leg 4'!C54</f>
        <v>9.881944444444446E-2</v>
      </c>
      <c r="E60" s="1" t="str">
        <f>VLOOKUP(B60,Registration!$B$3:$C$77,2,FALSE)</f>
        <v>Womens</v>
      </c>
      <c r="F60" s="1"/>
      <c r="G60" s="16">
        <f t="shared" si="0"/>
        <v>9.2354620976116322E-3</v>
      </c>
    </row>
    <row r="61" spans="1:7" x14ac:dyDescent="0.35">
      <c r="A61" s="1">
        <v>58</v>
      </c>
      <c r="B61" s="1">
        <v>67</v>
      </c>
      <c r="C61" s="27">
        <v>0.36504629629629631</v>
      </c>
      <c r="D61" s="27">
        <f>C61-'Leg 4'!C49</f>
        <v>0.10717592592592595</v>
      </c>
      <c r="E61" s="1" t="str">
        <f>VLOOKUP(B61,Registration!$B$3:$C$77,2,FALSE)</f>
        <v>Corp</v>
      </c>
      <c r="F61" s="1"/>
      <c r="G61" s="16">
        <f t="shared" si="0"/>
        <v>1.0016441675320183E-2</v>
      </c>
    </row>
    <row r="62" spans="1:7" x14ac:dyDescent="0.35">
      <c r="A62" s="1">
        <v>59</v>
      </c>
      <c r="B62" s="1">
        <v>5</v>
      </c>
      <c r="C62" s="27">
        <v>0.36528935185185185</v>
      </c>
      <c r="D62" s="27">
        <f>C62-'Leg 4'!C64</f>
        <v>6.6504629629629608E-2</v>
      </c>
      <c r="E62" s="1" t="str">
        <f>VLOOKUP(B62,Registration!$B$3:$C$77,2,FALSE)</f>
        <v>Men's</v>
      </c>
      <c r="F62" s="1"/>
      <c r="G62" s="16">
        <f t="shared" si="0"/>
        <v>6.2153859466943561E-3</v>
      </c>
    </row>
    <row r="63" spans="1:7" x14ac:dyDescent="0.35">
      <c r="A63" s="1">
        <v>60</v>
      </c>
      <c r="B63" s="1">
        <v>46</v>
      </c>
      <c r="C63" s="27">
        <v>0.36991898148148145</v>
      </c>
      <c r="D63" s="27">
        <f>C63-'Leg 4'!C65</f>
        <v>7.0763888888888848E-2</v>
      </c>
      <c r="E63" s="1" t="str">
        <f>VLOOKUP(B63,Registration!$B$3:$C$77,2,FALSE)</f>
        <v>Mixed</v>
      </c>
      <c r="F63" s="1"/>
      <c r="G63" s="16">
        <f t="shared" si="0"/>
        <v>6.6134475597092388E-3</v>
      </c>
    </row>
    <row r="64" spans="1:7" x14ac:dyDescent="0.35">
      <c r="A64" s="1">
        <v>61</v>
      </c>
      <c r="B64" s="1">
        <v>41</v>
      </c>
      <c r="C64" s="27">
        <v>0.37137731481481479</v>
      </c>
      <c r="D64" s="27">
        <f>C64-'Leg 4'!C66</f>
        <v>7.081018518518517E-2</v>
      </c>
      <c r="E64" s="1" t="str">
        <f>VLOOKUP(B64,Registration!$B$3:$C$77,2,FALSE)</f>
        <v>Mixed</v>
      </c>
      <c r="F64" s="1"/>
      <c r="G64" s="16">
        <f t="shared" si="0"/>
        <v>6.6177743163724463E-3</v>
      </c>
    </row>
    <row r="65" spans="1:7" x14ac:dyDescent="0.35">
      <c r="A65" s="1">
        <v>62</v>
      </c>
      <c r="B65" s="1">
        <v>68</v>
      </c>
      <c r="C65" s="27">
        <v>0.37282407407407409</v>
      </c>
      <c r="D65" s="27">
        <f>C65-'Leg 4'!C65</f>
        <v>7.3668981481481488E-2</v>
      </c>
      <c r="E65" s="1" t="str">
        <f>VLOOKUP(B65,Registration!$B$3:$C$77,2,FALSE)</f>
        <v>HS-Girls</v>
      </c>
      <c r="F65" s="1"/>
      <c r="G65" s="16">
        <f t="shared" si="0"/>
        <v>6.8849515403253733E-3</v>
      </c>
    </row>
    <row r="66" spans="1:7" x14ac:dyDescent="0.35">
      <c r="A66" s="1">
        <v>63</v>
      </c>
      <c r="B66" s="1">
        <v>61</v>
      </c>
      <c r="C66" s="27">
        <v>0.37525462962962958</v>
      </c>
      <c r="D66" s="27">
        <f>C66-'Leg 4'!C62</f>
        <v>8.3136574074074043E-2</v>
      </c>
      <c r="E66" s="1" t="str">
        <f>VLOOKUP(B66,Registration!$B$3:$C$77,2,FALSE)</f>
        <v>Corp</v>
      </c>
      <c r="F66" s="1"/>
      <c r="G66" s="16">
        <f t="shared" si="0"/>
        <v>7.7697732779508453E-3</v>
      </c>
    </row>
    <row r="67" spans="1:7" x14ac:dyDescent="0.35">
      <c r="A67" s="1">
        <v>64</v>
      </c>
      <c r="B67" s="1">
        <v>48</v>
      </c>
      <c r="C67" s="27">
        <v>0.37899305555555557</v>
      </c>
      <c r="D67" s="27">
        <f>C67-'Leg 4'!C63</f>
        <v>8.6435185185185226E-2</v>
      </c>
      <c r="E67" s="1" t="str">
        <f>VLOOKUP(B67,Registration!$B$3:$C$77,2,FALSE)</f>
        <v>Mixed</v>
      </c>
      <c r="F67" s="1"/>
      <c r="G67" s="16">
        <f t="shared" si="0"/>
        <v>8.0780546902042265E-3</v>
      </c>
    </row>
    <row r="68" spans="1:7" x14ac:dyDescent="0.35">
      <c r="A68" s="1">
        <v>65</v>
      </c>
      <c r="B68" s="1">
        <v>51</v>
      </c>
      <c r="C68" s="27">
        <v>0.37986111111111115</v>
      </c>
      <c r="D68" s="27">
        <f>C68-'Leg 4'!C64</f>
        <v>8.1076388888888906E-2</v>
      </c>
      <c r="E68" s="1" t="str">
        <f>VLOOKUP(B68,Registration!$B$3:$C$77,2,FALSE)</f>
        <v>Mixed</v>
      </c>
      <c r="G68" s="16">
        <f t="shared" si="0"/>
        <v>7.5772326064382162E-3</v>
      </c>
    </row>
    <row r="69" spans="1:7" x14ac:dyDescent="0.35">
      <c r="A69" s="1">
        <v>66</v>
      </c>
      <c r="B69" s="1">
        <v>53</v>
      </c>
      <c r="C69" s="27">
        <v>0.39275462962962965</v>
      </c>
      <c r="D69" s="27">
        <f>C69-'Leg 4'!C65</f>
        <v>9.3599537037037051E-2</v>
      </c>
      <c r="E69" s="1" t="str">
        <f>VLOOKUP(B69,Registration!$B$3:$C$77,2,FALSE)</f>
        <v>Mixed40+</v>
      </c>
      <c r="G69" s="16">
        <f t="shared" ref="G69:G70" si="1">D69/10.7</f>
        <v>8.7476202838352394E-3</v>
      </c>
    </row>
    <row r="70" spans="1:7" x14ac:dyDescent="0.35">
      <c r="A70" s="1">
        <v>67</v>
      </c>
      <c r="B70" s="25">
        <v>40</v>
      </c>
      <c r="C70" s="27">
        <v>0.39393518518518517</v>
      </c>
      <c r="D70" s="27">
        <f>C70-'Leg 4'!C66</f>
        <v>9.3368055555555551E-2</v>
      </c>
      <c r="E70" s="1" t="str">
        <f>VLOOKUP(B70,Registration!$B$3:$C$77,2,FALSE)</f>
        <v>Mixed</v>
      </c>
      <c r="G70" s="16">
        <f t="shared" si="1"/>
        <v>8.725986500519211E-3</v>
      </c>
    </row>
    <row r="71" spans="1:7" x14ac:dyDescent="0.35">
      <c r="G71" s="16"/>
    </row>
    <row r="72" spans="1:7" x14ac:dyDescent="0.35">
      <c r="G72" s="16"/>
    </row>
    <row r="73" spans="1:7" x14ac:dyDescent="0.35">
      <c r="G73" s="16"/>
    </row>
    <row r="74" spans="1:7" x14ac:dyDescent="0.35">
      <c r="G74" s="16"/>
    </row>
    <row r="75" spans="1:7" x14ac:dyDescent="0.35">
      <c r="G75" s="16"/>
    </row>
    <row r="76" spans="1:7" x14ac:dyDescent="0.35">
      <c r="G76" s="16"/>
    </row>
    <row r="77" spans="1:7" x14ac:dyDescent="0.35">
      <c r="G77" s="16"/>
    </row>
  </sheetData>
  <pageMargins left="0.7" right="0.7" top="0.75" bottom="0.75" header="0.3" footer="0.3"/>
  <pageSetup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7"/>
  <sheetViews>
    <sheetView workbookViewId="0">
      <selection activeCell="E2" sqref="E2"/>
    </sheetView>
  </sheetViews>
  <sheetFormatPr defaultColWidth="8.81640625" defaultRowHeight="14.5" x14ac:dyDescent="0.35"/>
  <cols>
    <col min="1" max="2" width="6.1796875" style="1" customWidth="1"/>
    <col min="3" max="3" width="10.1796875" style="25" customWidth="1"/>
    <col min="4" max="4" width="11.36328125" customWidth="1"/>
    <col min="5" max="5" width="12.453125" customWidth="1"/>
  </cols>
  <sheetData>
    <row r="1" spans="1:5" ht="18.5" x14ac:dyDescent="0.45">
      <c r="A1" s="17" t="s">
        <v>8</v>
      </c>
      <c r="B1" s="19" t="s">
        <v>27</v>
      </c>
      <c r="C1" s="22"/>
      <c r="D1" s="10"/>
    </row>
    <row r="2" spans="1:5" ht="18.5" x14ac:dyDescent="0.45">
      <c r="B2" s="19"/>
      <c r="C2" s="22"/>
      <c r="D2" s="10"/>
      <c r="E2" s="34" t="s">
        <v>21</v>
      </c>
    </row>
    <row r="3" spans="1:5" ht="15.5" x14ac:dyDescent="0.35">
      <c r="A3" s="13" t="s">
        <v>16</v>
      </c>
      <c r="B3" s="6" t="s">
        <v>5</v>
      </c>
      <c r="C3" s="23" t="s">
        <v>15</v>
      </c>
      <c r="D3" s="6" t="s">
        <v>0</v>
      </c>
      <c r="E3" s="21" t="s">
        <v>17</v>
      </c>
    </row>
    <row r="4" spans="1:5" x14ac:dyDescent="0.35">
      <c r="A4" s="1">
        <v>1</v>
      </c>
      <c r="B4" s="1">
        <v>1</v>
      </c>
      <c r="C4" s="24">
        <v>0.24641203703703704</v>
      </c>
      <c r="D4" s="1" t="str">
        <f>VLOOKUP(B4,Registration!$B$3:$C$77,2,FALSE)</f>
        <v>Men's</v>
      </c>
      <c r="E4" s="18" t="e">
        <f>#REF!/8.6</f>
        <v>#REF!</v>
      </c>
    </row>
    <row r="5" spans="1:5" x14ac:dyDescent="0.35">
      <c r="A5" s="1">
        <v>2</v>
      </c>
      <c r="B5" s="1">
        <v>3</v>
      </c>
      <c r="C5" s="24">
        <v>0.26944444444444443</v>
      </c>
      <c r="D5" s="1" t="str">
        <f>VLOOKUP(B5,Registration!$B$3:$C$77,2,FALSE)</f>
        <v>Men's</v>
      </c>
      <c r="E5" s="18" t="e">
        <f>#REF!/8.6</f>
        <v>#REF!</v>
      </c>
    </row>
    <row r="6" spans="1:5" x14ac:dyDescent="0.35">
      <c r="A6" s="1">
        <v>3</v>
      </c>
      <c r="B6" s="1">
        <v>4</v>
      </c>
      <c r="C6" s="24">
        <v>0.38075231481481481</v>
      </c>
      <c r="D6" s="1" t="str">
        <f>VLOOKUP(B6,Registration!$B$3:$C$77,2,FALSE)</f>
        <v>Men's</v>
      </c>
      <c r="E6" s="18" t="e">
        <f>#REF!/8.6</f>
        <v>#REF!</v>
      </c>
    </row>
    <row r="7" spans="1:5" x14ac:dyDescent="0.35">
      <c r="A7" s="1">
        <v>4</v>
      </c>
      <c r="B7" s="1">
        <v>5</v>
      </c>
      <c r="C7" s="24">
        <v>0.41709490740740746</v>
      </c>
      <c r="D7" s="1" t="str">
        <f>VLOOKUP(B7,Registration!$B$3:$C$77,2,FALSE)</f>
        <v>Men's</v>
      </c>
      <c r="E7" s="18" t="e">
        <f>#REF!/8.6</f>
        <v>#REF!</v>
      </c>
    </row>
    <row r="8" spans="1:5" x14ac:dyDescent="0.35">
      <c r="A8" s="1">
        <v>5</v>
      </c>
      <c r="B8" s="1">
        <v>6</v>
      </c>
      <c r="C8" s="24">
        <v>0.30778935185185186</v>
      </c>
      <c r="D8" s="1" t="str">
        <f>VLOOKUP(B8,Registration!$B$3:$C$77,2,FALSE)</f>
        <v>Men's</v>
      </c>
      <c r="E8" s="18" t="e">
        <f>#REF!/8.6</f>
        <v>#REF!</v>
      </c>
    </row>
    <row r="9" spans="1:5" x14ac:dyDescent="0.35">
      <c r="A9" s="1">
        <v>6</v>
      </c>
      <c r="B9" s="1">
        <v>7</v>
      </c>
      <c r="C9" s="24">
        <v>0.40960648148148149</v>
      </c>
      <c r="D9" s="1" t="str">
        <f>VLOOKUP(B9,Registration!$B$3:$C$77,2,FALSE)</f>
        <v>Men's</v>
      </c>
      <c r="E9" s="18" t="e">
        <f>#REF!/8.6</f>
        <v>#REF!</v>
      </c>
    </row>
    <row r="10" spans="1:5" x14ac:dyDescent="0.35">
      <c r="A10" s="1">
        <v>7</v>
      </c>
      <c r="B10" s="1">
        <v>8</v>
      </c>
      <c r="C10" s="24">
        <v>0.25092592592592594</v>
      </c>
      <c r="D10" s="1" t="str">
        <f>VLOOKUP(B10,Registration!$B$3:$C$77,2,FALSE)</f>
        <v>Men's</v>
      </c>
      <c r="E10" s="41" t="e">
        <f>#REF!/8.6</f>
        <v>#REF!</v>
      </c>
    </row>
    <row r="11" spans="1:5" x14ac:dyDescent="0.35">
      <c r="A11" s="1">
        <v>8</v>
      </c>
      <c r="B11" s="1">
        <v>9</v>
      </c>
      <c r="C11" s="24">
        <v>0.27340277777777777</v>
      </c>
      <c r="D11" s="1" t="str">
        <f>VLOOKUP(B11,Registration!$B$3:$C$77,2,FALSE)</f>
        <v>Men's</v>
      </c>
      <c r="E11" s="18" t="e">
        <f>#REF!/8.6</f>
        <v>#REF!</v>
      </c>
    </row>
    <row r="12" spans="1:5" x14ac:dyDescent="0.35">
      <c r="A12" s="1">
        <v>9</v>
      </c>
      <c r="B12" s="1">
        <v>10</v>
      </c>
      <c r="C12" s="24">
        <v>0.27435185185185185</v>
      </c>
      <c r="D12" s="1" t="str">
        <f>VLOOKUP(B12,Registration!$B$3:$C$77,2,FALSE)</f>
        <v>Men40+</v>
      </c>
      <c r="E12" s="18" t="e">
        <f>#REF!/8.6</f>
        <v>#REF!</v>
      </c>
    </row>
    <row r="13" spans="1:5" x14ac:dyDescent="0.35">
      <c r="A13" s="1">
        <v>10</v>
      </c>
      <c r="B13" s="1">
        <v>11</v>
      </c>
      <c r="C13" s="24">
        <v>0.35335648148148152</v>
      </c>
      <c r="D13" s="1" t="str">
        <f>VLOOKUP(B13,Registration!$B$3:$C$77,2,FALSE)</f>
        <v>Men50+</v>
      </c>
      <c r="E13" s="18" t="e">
        <f>#REF!/8.6</f>
        <v>#REF!</v>
      </c>
    </row>
    <row r="14" spans="1:5" x14ac:dyDescent="0.35">
      <c r="A14" s="1">
        <v>11</v>
      </c>
      <c r="B14" s="1">
        <v>12</v>
      </c>
      <c r="C14" s="24">
        <v>0.34597222222222218</v>
      </c>
      <c r="D14" s="1" t="str">
        <f>VLOOKUP(B14,Registration!$B$3:$C$77,2,FALSE)</f>
        <v>Men50+</v>
      </c>
      <c r="E14" s="18" t="e">
        <f>#REF!/8.6</f>
        <v>#REF!</v>
      </c>
    </row>
    <row r="15" spans="1:5" x14ac:dyDescent="0.35">
      <c r="A15" s="1">
        <v>12</v>
      </c>
      <c r="B15" s="1">
        <v>13</v>
      </c>
      <c r="C15" s="24">
        <v>0.39461805555555557</v>
      </c>
      <c r="D15" s="1" t="str">
        <f>VLOOKUP(B15,Registration!$B$3:$C$77,2,FALSE)</f>
        <v>Ultra</v>
      </c>
      <c r="E15" s="18" t="e">
        <f>#REF!/8.6</f>
        <v>#REF!</v>
      </c>
    </row>
    <row r="16" spans="1:5" x14ac:dyDescent="0.35">
      <c r="A16" s="1">
        <v>13</v>
      </c>
      <c r="B16" s="1">
        <v>14</v>
      </c>
      <c r="C16" s="24">
        <v>0.41387731481481477</v>
      </c>
      <c r="D16" s="1" t="str">
        <f>VLOOKUP(B16,Registration!$B$3:$C$77,2,FALSE)</f>
        <v>Womens</v>
      </c>
      <c r="E16" s="18" t="e">
        <f>#REF!/8.6</f>
        <v>#REF!</v>
      </c>
    </row>
    <row r="17" spans="1:5" x14ac:dyDescent="0.35">
      <c r="A17" s="1">
        <v>14</v>
      </c>
      <c r="B17" s="1">
        <v>16</v>
      </c>
      <c r="C17" s="24">
        <v>0.3</v>
      </c>
      <c r="D17" s="1" t="str">
        <f>VLOOKUP(B17,Registration!$B$3:$C$77,2,FALSE)</f>
        <v>Womens</v>
      </c>
      <c r="E17" s="18" t="e">
        <f>#REF!/8.6</f>
        <v>#REF!</v>
      </c>
    </row>
    <row r="18" spans="1:5" x14ac:dyDescent="0.35">
      <c r="A18" s="1">
        <v>15</v>
      </c>
      <c r="B18" s="1">
        <v>17</v>
      </c>
      <c r="C18" s="24">
        <v>0.38938657407407407</v>
      </c>
      <c r="D18" s="1" t="str">
        <f>VLOOKUP(B18,Registration!$B$3:$C$77,2,FALSE)</f>
        <v>Womens</v>
      </c>
      <c r="E18" s="18" t="e">
        <f>#REF!/8.6</f>
        <v>#REF!</v>
      </c>
    </row>
    <row r="19" spans="1:5" x14ac:dyDescent="0.35">
      <c r="A19" s="1">
        <v>16</v>
      </c>
      <c r="B19" s="1">
        <v>18</v>
      </c>
      <c r="C19" s="24">
        <v>0.2810300925925926</v>
      </c>
      <c r="D19" s="1" t="str">
        <f>VLOOKUP(B19,Registration!$B$3:$C$77,2,FALSE)</f>
        <v>Mixed</v>
      </c>
      <c r="E19" s="18" t="e">
        <f>#REF!/8.6</f>
        <v>#REF!</v>
      </c>
    </row>
    <row r="20" spans="1:5" x14ac:dyDescent="0.35">
      <c r="A20" s="1">
        <v>17</v>
      </c>
      <c r="B20" s="1">
        <v>19</v>
      </c>
      <c r="C20" s="24">
        <v>0.35920138888888892</v>
      </c>
      <c r="D20" s="1" t="str">
        <f>VLOOKUP(B20,Registration!$B$3:$C$77,2,FALSE)</f>
        <v>Womens</v>
      </c>
      <c r="E20" s="18" t="e">
        <f>#REF!/8.6</f>
        <v>#REF!</v>
      </c>
    </row>
    <row r="21" spans="1:5" x14ac:dyDescent="0.35">
      <c r="A21" s="1">
        <v>18</v>
      </c>
      <c r="B21" s="1">
        <v>21</v>
      </c>
      <c r="C21" s="24">
        <v>0.31495370370370374</v>
      </c>
      <c r="D21" s="1" t="str">
        <f>VLOOKUP(B21,Registration!$B$3:$C$77,2,FALSE)</f>
        <v>Womens</v>
      </c>
      <c r="E21" s="18" t="e">
        <f>#REF!/8.6</f>
        <v>#REF!</v>
      </c>
    </row>
    <row r="22" spans="1:5" x14ac:dyDescent="0.35">
      <c r="A22" s="1">
        <v>19</v>
      </c>
      <c r="B22" s="1">
        <v>22</v>
      </c>
      <c r="C22" s="24">
        <v>0.33679398148148149</v>
      </c>
      <c r="D22" s="1" t="str">
        <f>VLOOKUP(B22,Registration!$B$3:$C$77,2,FALSE)</f>
        <v>Wmn 40+</v>
      </c>
      <c r="E22" s="18" t="e">
        <f>#REF!/8.6</f>
        <v>#REF!</v>
      </c>
    </row>
    <row r="23" spans="1:5" x14ac:dyDescent="0.35">
      <c r="A23" s="1">
        <v>20</v>
      </c>
      <c r="B23" s="1">
        <v>23</v>
      </c>
      <c r="C23" s="24">
        <v>0.41612268518518519</v>
      </c>
      <c r="D23" s="1" t="str">
        <f>VLOOKUP(B23,Registration!$B$3:$C$77,2,FALSE)</f>
        <v>Mixed</v>
      </c>
      <c r="E23" s="18" t="e">
        <f>#REF!/8.6</f>
        <v>#REF!</v>
      </c>
    </row>
    <row r="24" spans="1:5" x14ac:dyDescent="0.35">
      <c r="A24" s="1">
        <v>21</v>
      </c>
      <c r="B24" s="1">
        <v>24</v>
      </c>
      <c r="C24" s="24">
        <v>0.34356481481481477</v>
      </c>
      <c r="D24" s="1" t="str">
        <f>VLOOKUP(B24,Registration!$B$3:$C$77,2,FALSE)</f>
        <v>Mixed</v>
      </c>
      <c r="E24" s="18" t="e">
        <f>#REF!/8.6</f>
        <v>#REF!</v>
      </c>
    </row>
    <row r="25" spans="1:5" x14ac:dyDescent="0.35">
      <c r="A25" s="1">
        <v>22</v>
      </c>
      <c r="B25" s="1">
        <v>25</v>
      </c>
      <c r="C25" s="24">
        <v>0.32769675925925928</v>
      </c>
      <c r="D25" s="1" t="str">
        <f>VLOOKUP(B25,Registration!$B$3:$C$77,2,FALSE)</f>
        <v>Mixed</v>
      </c>
      <c r="E25" s="18" t="e">
        <f>#REF!/8.6</f>
        <v>#REF!</v>
      </c>
    </row>
    <row r="26" spans="1:5" x14ac:dyDescent="0.35">
      <c r="A26" s="1">
        <v>23</v>
      </c>
      <c r="B26" s="1">
        <v>26</v>
      </c>
      <c r="C26" s="24">
        <v>0.32079861111111113</v>
      </c>
      <c r="D26" s="1" t="str">
        <f>VLOOKUP(B26,Registration!$B$3:$C$77,2,FALSE)</f>
        <v>Mixed</v>
      </c>
      <c r="E26" s="18" t="e">
        <f>#REF!/8.6</f>
        <v>#REF!</v>
      </c>
    </row>
    <row r="27" spans="1:5" x14ac:dyDescent="0.35">
      <c r="A27" s="1">
        <v>24</v>
      </c>
      <c r="B27" s="1">
        <v>27</v>
      </c>
      <c r="C27" s="24">
        <v>0.39038194444444446</v>
      </c>
      <c r="D27" s="1" t="str">
        <f>VLOOKUP(B27,Registration!$B$3:$C$77,2,FALSE)</f>
        <v>Mixed</v>
      </c>
      <c r="E27" s="18" t="e">
        <f>#REF!/8.6</f>
        <v>#REF!</v>
      </c>
    </row>
    <row r="28" spans="1:5" x14ac:dyDescent="0.35">
      <c r="A28" s="1">
        <v>25</v>
      </c>
      <c r="B28" s="1">
        <v>28</v>
      </c>
      <c r="C28" s="24">
        <v>0.36467592592592596</v>
      </c>
      <c r="D28" s="1" t="str">
        <f>VLOOKUP(B28,Registration!$B$3:$C$77,2,FALSE)</f>
        <v>Mixed</v>
      </c>
      <c r="E28" s="18" t="e">
        <f>#REF!/8.6</f>
        <v>#REF!</v>
      </c>
    </row>
    <row r="29" spans="1:5" x14ac:dyDescent="0.35">
      <c r="A29" s="1">
        <v>26</v>
      </c>
      <c r="B29" s="1">
        <v>29</v>
      </c>
      <c r="C29" s="24">
        <v>0.36467592592592596</v>
      </c>
      <c r="D29" s="1" t="str">
        <f>VLOOKUP(B29,Registration!$B$3:$C$77,2,FALSE)</f>
        <v>Mixed</v>
      </c>
      <c r="E29" s="18" t="e">
        <f>#REF!/8.6</f>
        <v>#REF!</v>
      </c>
    </row>
    <row r="30" spans="1:5" x14ac:dyDescent="0.35">
      <c r="A30" s="1">
        <v>27</v>
      </c>
      <c r="B30" s="1">
        <v>30</v>
      </c>
      <c r="C30" s="24">
        <v>0.36085648148148147</v>
      </c>
      <c r="D30" s="1" t="str">
        <f>VLOOKUP(B30,Registration!$B$3:$C$77,2,FALSE)</f>
        <v>Mixed</v>
      </c>
      <c r="E30" s="18" t="e">
        <f>#REF!/8.6</f>
        <v>#REF!</v>
      </c>
    </row>
    <row r="31" spans="1:5" x14ac:dyDescent="0.35">
      <c r="A31" s="1">
        <v>28</v>
      </c>
      <c r="B31" s="1">
        <v>31</v>
      </c>
      <c r="C31" s="24">
        <v>0.34802083333333328</v>
      </c>
      <c r="D31" s="1" t="str">
        <f>VLOOKUP(B31,Registration!$B$3:$C$77,2,FALSE)</f>
        <v>Mixed</v>
      </c>
      <c r="E31" s="18" t="e">
        <f>#REF!/8.6</f>
        <v>#REF!</v>
      </c>
    </row>
    <row r="32" spans="1:5" x14ac:dyDescent="0.35">
      <c r="A32" s="1">
        <v>29</v>
      </c>
      <c r="B32" s="1">
        <v>32</v>
      </c>
      <c r="C32" s="24">
        <v>0.37275462962962963</v>
      </c>
      <c r="D32" s="1" t="str">
        <f>VLOOKUP(B32,Registration!$B$3:$C$77,2,FALSE)</f>
        <v>Mixed</v>
      </c>
      <c r="E32" s="18" t="e">
        <f>#REF!/8.6</f>
        <v>#REF!</v>
      </c>
    </row>
    <row r="33" spans="1:5" x14ac:dyDescent="0.35">
      <c r="A33" s="1">
        <v>30</v>
      </c>
      <c r="B33" s="1">
        <v>34</v>
      </c>
      <c r="C33" s="24">
        <v>0.35538194444444443</v>
      </c>
      <c r="D33" s="1" t="str">
        <f>VLOOKUP(B33,Registration!$B$3:$C$77,2,FALSE)</f>
        <v>Mixed</v>
      </c>
      <c r="E33" s="18" t="e">
        <f>#REF!/8.6</f>
        <v>#REF!</v>
      </c>
    </row>
    <row r="34" spans="1:5" x14ac:dyDescent="0.35">
      <c r="A34" s="1">
        <v>31</v>
      </c>
      <c r="B34" s="1">
        <v>35</v>
      </c>
      <c r="C34" s="24">
        <v>0.35234953703703703</v>
      </c>
      <c r="D34" s="1" t="str">
        <f>VLOOKUP(B34,Registration!$B$3:$C$77,2,FALSE)</f>
        <v>Mixed</v>
      </c>
      <c r="E34" s="18" t="e">
        <f>#REF!/8.6</f>
        <v>#REF!</v>
      </c>
    </row>
    <row r="35" spans="1:5" x14ac:dyDescent="0.35">
      <c r="A35" s="1">
        <v>32</v>
      </c>
      <c r="B35" s="1">
        <v>36</v>
      </c>
      <c r="C35" s="24">
        <v>0.36365740740740743</v>
      </c>
      <c r="D35" s="1" t="str">
        <f>VLOOKUP(B35,Registration!$B$3:$C$77,2,FALSE)</f>
        <v>Mixed</v>
      </c>
      <c r="E35" s="18" t="e">
        <f>#REF!/8.6</f>
        <v>#REF!</v>
      </c>
    </row>
    <row r="36" spans="1:5" x14ac:dyDescent="0.35">
      <c r="A36" s="1">
        <v>33</v>
      </c>
      <c r="B36" s="1">
        <v>37</v>
      </c>
      <c r="C36" s="24">
        <v>0.31465277777777778</v>
      </c>
      <c r="D36" s="1" t="str">
        <f>VLOOKUP(B36,Registration!$B$3:$C$77,2,FALSE)</f>
        <v>Mixed</v>
      </c>
      <c r="E36" s="18" t="e">
        <f>#REF!/8.6</f>
        <v>#REF!</v>
      </c>
    </row>
    <row r="37" spans="1:5" x14ac:dyDescent="0.35">
      <c r="A37" s="1">
        <v>34</v>
      </c>
      <c r="B37" s="1">
        <v>38</v>
      </c>
      <c r="C37" s="24">
        <v>0.36634259259259255</v>
      </c>
      <c r="D37" s="1" t="str">
        <f>VLOOKUP(B37,Registration!$B$3:$C$77,2,FALSE)</f>
        <v>Mixed</v>
      </c>
      <c r="E37" s="18" t="e">
        <f>#REF!/8.6</f>
        <v>#REF!</v>
      </c>
    </row>
    <row r="38" spans="1:5" x14ac:dyDescent="0.35">
      <c r="A38" s="1">
        <v>35</v>
      </c>
      <c r="B38" s="1">
        <v>39</v>
      </c>
      <c r="C38" s="24">
        <v>0.34739583333333335</v>
      </c>
      <c r="D38" s="1" t="str">
        <f>VLOOKUP(B38,Registration!$B$3:$C$77,2,FALSE)</f>
        <v>Mixed</v>
      </c>
      <c r="E38" s="18" t="e">
        <f>#REF!/8.6</f>
        <v>#REF!</v>
      </c>
    </row>
    <row r="39" spans="1:5" x14ac:dyDescent="0.35">
      <c r="A39" s="1">
        <v>36</v>
      </c>
      <c r="B39" s="1">
        <v>40</v>
      </c>
      <c r="C39" s="24">
        <v>0.45096064814814812</v>
      </c>
      <c r="D39" s="1" t="str">
        <f>VLOOKUP(B39,Registration!$B$3:$C$77,2,FALSE)</f>
        <v>Mixed</v>
      </c>
      <c r="E39" s="18" t="e">
        <f>#REF!/8.6</f>
        <v>#REF!</v>
      </c>
    </row>
    <row r="40" spans="1:5" x14ac:dyDescent="0.35">
      <c r="A40" s="1">
        <v>37</v>
      </c>
      <c r="B40" s="1">
        <v>41</v>
      </c>
      <c r="C40" s="24">
        <v>0.41763888888888889</v>
      </c>
      <c r="D40" s="1" t="str">
        <f>VLOOKUP(B40,Registration!$B$3:$C$77,2,FALSE)</f>
        <v>Mixed</v>
      </c>
      <c r="E40" s="18" t="e">
        <f>#REF!/8.6</f>
        <v>#REF!</v>
      </c>
    </row>
    <row r="41" spans="1:5" x14ac:dyDescent="0.35">
      <c r="A41" s="1">
        <v>38</v>
      </c>
      <c r="B41" s="1">
        <v>42</v>
      </c>
      <c r="C41" s="24">
        <v>0.39230324074074074</v>
      </c>
      <c r="D41" s="1" t="str">
        <f>VLOOKUP(B41,Registration!$B$3:$C$77,2,FALSE)</f>
        <v>Mixed</v>
      </c>
      <c r="E41" s="18" t="e">
        <f>#REF!/8.6</f>
        <v>#REF!</v>
      </c>
    </row>
    <row r="42" spans="1:5" x14ac:dyDescent="0.35">
      <c r="A42" s="1">
        <v>39</v>
      </c>
      <c r="B42" s="1">
        <v>43</v>
      </c>
      <c r="C42" s="24">
        <v>0.33872685185185186</v>
      </c>
      <c r="D42" s="1" t="str">
        <f>VLOOKUP(B42,Registration!$B$3:$C$77,2,FALSE)</f>
        <v>Mixed</v>
      </c>
      <c r="E42" s="18" t="e">
        <f>#REF!/8.6</f>
        <v>#REF!</v>
      </c>
    </row>
    <row r="43" spans="1:5" x14ac:dyDescent="0.35">
      <c r="A43" s="1">
        <v>40</v>
      </c>
      <c r="B43" s="1">
        <v>45</v>
      </c>
      <c r="C43" s="24">
        <v>0.37593750000000004</v>
      </c>
      <c r="D43" s="1" t="str">
        <f>VLOOKUP(B43,Registration!$B$3:$C$77,2,FALSE)</f>
        <v>Mixed</v>
      </c>
      <c r="E43" s="18" t="e">
        <f>#REF!/8.6</f>
        <v>#REF!</v>
      </c>
    </row>
    <row r="44" spans="1:5" x14ac:dyDescent="0.35">
      <c r="A44" s="1">
        <v>41</v>
      </c>
      <c r="B44" s="1">
        <v>46</v>
      </c>
      <c r="C44" s="24">
        <v>0.41939814814814813</v>
      </c>
      <c r="D44" s="1" t="str">
        <f>VLOOKUP(B44,Registration!$B$3:$C$77,2,FALSE)</f>
        <v>Mixed</v>
      </c>
      <c r="E44" s="18" t="e">
        <f>#REF!/8.6</f>
        <v>#REF!</v>
      </c>
    </row>
    <row r="45" spans="1:5" x14ac:dyDescent="0.35">
      <c r="A45" s="1">
        <v>42</v>
      </c>
      <c r="B45" s="1">
        <v>47</v>
      </c>
      <c r="C45" s="24">
        <v>0.41165509259259259</v>
      </c>
      <c r="D45" s="1" t="str">
        <f>VLOOKUP(B45,Registration!$B$3:$C$77,2,FALSE)</f>
        <v>Mixed</v>
      </c>
      <c r="E45" s="18" t="e">
        <f>#REF!/8.6</f>
        <v>#REF!</v>
      </c>
    </row>
    <row r="46" spans="1:5" x14ac:dyDescent="0.35">
      <c r="A46" s="1">
        <v>43</v>
      </c>
      <c r="B46" s="1">
        <v>48</v>
      </c>
      <c r="C46" s="24">
        <v>0.43408564814814815</v>
      </c>
      <c r="D46" s="1" t="str">
        <f>VLOOKUP(B46,Registration!$B$3:$C$77,2,FALSE)</f>
        <v>Mixed</v>
      </c>
      <c r="E46" s="18" t="e">
        <f>#REF!/8.6</f>
        <v>#REF!</v>
      </c>
    </row>
    <row r="47" spans="1:5" x14ac:dyDescent="0.35">
      <c r="A47" s="1">
        <v>44</v>
      </c>
      <c r="B47" s="1">
        <v>49</v>
      </c>
      <c r="C47" s="24">
        <v>0.38436342592592593</v>
      </c>
      <c r="D47" s="1" t="str">
        <f>VLOOKUP(B47,Registration!$B$3:$C$77,2,FALSE)</f>
        <v>Mixed</v>
      </c>
      <c r="E47" s="18" t="e">
        <f>#REF!/8.6</f>
        <v>#REF!</v>
      </c>
    </row>
    <row r="48" spans="1:5" x14ac:dyDescent="0.35">
      <c r="A48" s="1">
        <v>45</v>
      </c>
      <c r="B48" s="1">
        <v>50</v>
      </c>
      <c r="C48" s="24">
        <v>0.30311342592592594</v>
      </c>
      <c r="D48" s="1" t="str">
        <f>VLOOKUP(B48,Registration!$B$3:$C$77,2,FALSE)</f>
        <v>Mixed</v>
      </c>
      <c r="E48" s="18" t="e">
        <f>#REF!/8.6</f>
        <v>#REF!</v>
      </c>
    </row>
    <row r="49" spans="1:5" x14ac:dyDescent="0.35">
      <c r="A49" s="1">
        <v>46</v>
      </c>
      <c r="B49" s="1">
        <v>51</v>
      </c>
      <c r="C49" s="24">
        <v>0.43902777777777779</v>
      </c>
      <c r="D49" s="1" t="str">
        <f>VLOOKUP(B49,Registration!$B$3:$C$77,2,FALSE)</f>
        <v>Mixed</v>
      </c>
      <c r="E49" s="18" t="e">
        <f>#REF!/8.6</f>
        <v>#REF!</v>
      </c>
    </row>
    <row r="50" spans="1:5" x14ac:dyDescent="0.35">
      <c r="A50" s="1">
        <v>47</v>
      </c>
      <c r="B50" s="1">
        <v>52</v>
      </c>
      <c r="C50" s="24">
        <v>0.32253472222222224</v>
      </c>
      <c r="D50" s="1" t="str">
        <f>VLOOKUP(B50,Registration!$B$3:$C$77,2,FALSE)</f>
        <v>Men's</v>
      </c>
      <c r="E50" s="18" t="e">
        <f>#REF!/8.6</f>
        <v>#REF!</v>
      </c>
    </row>
    <row r="51" spans="1:5" x14ac:dyDescent="0.35">
      <c r="A51" s="1">
        <v>48</v>
      </c>
      <c r="B51" s="1">
        <v>53</v>
      </c>
      <c r="C51" s="24">
        <v>0.42153935185185182</v>
      </c>
      <c r="D51" s="1" t="str">
        <f>VLOOKUP(B51,Registration!$B$3:$C$77,2,FALSE)</f>
        <v>Mixed40+</v>
      </c>
      <c r="E51" s="18" t="e">
        <f>#REF!/8.6</f>
        <v>#REF!</v>
      </c>
    </row>
    <row r="52" spans="1:5" x14ac:dyDescent="0.35">
      <c r="A52" s="1">
        <v>49</v>
      </c>
      <c r="B52" s="1">
        <v>53</v>
      </c>
      <c r="C52" s="24">
        <v>0.4632060185185185</v>
      </c>
      <c r="D52" s="1" t="str">
        <f>VLOOKUP(B52,Registration!$B$3:$C$77,2,FALSE)</f>
        <v>Mixed40+</v>
      </c>
      <c r="E52" s="18" t="e">
        <f>#REF!/8.6</f>
        <v>#REF!</v>
      </c>
    </row>
    <row r="53" spans="1:5" x14ac:dyDescent="0.35">
      <c r="A53" s="1">
        <v>50</v>
      </c>
      <c r="B53" s="1">
        <v>55</v>
      </c>
      <c r="C53" s="24">
        <v>0.32353009259259258</v>
      </c>
      <c r="D53" s="1" t="str">
        <f>VLOOKUP(B53,Registration!$B$3:$C$77,2,FALSE)</f>
        <v>Mixed40+</v>
      </c>
      <c r="E53" s="43" t="e">
        <f>#REF!/8.6</f>
        <v>#REF!</v>
      </c>
    </row>
    <row r="54" spans="1:5" x14ac:dyDescent="0.35">
      <c r="A54" s="1">
        <v>51</v>
      </c>
      <c r="B54" s="1">
        <v>56</v>
      </c>
      <c r="C54" s="24">
        <v>0.37988425925925928</v>
      </c>
      <c r="D54" s="1" t="str">
        <f>VLOOKUP(B54,Registration!$B$3:$C$77,2,FALSE)</f>
        <v>Mixed40+</v>
      </c>
      <c r="E54" s="18" t="e">
        <f>#REF!/8.6</f>
        <v>#REF!</v>
      </c>
    </row>
    <row r="55" spans="1:5" x14ac:dyDescent="0.35">
      <c r="A55" s="1">
        <v>52</v>
      </c>
      <c r="B55" s="1">
        <v>57</v>
      </c>
      <c r="C55" s="24">
        <v>0.37708333333333338</v>
      </c>
      <c r="D55" s="1" t="str">
        <f>VLOOKUP(B55,Registration!$B$3:$C$77,2,FALSE)</f>
        <v>Mixed40+</v>
      </c>
      <c r="E55" s="18" t="e">
        <f>#REF!/8.6</f>
        <v>#REF!</v>
      </c>
    </row>
    <row r="56" spans="1:5" x14ac:dyDescent="0.35">
      <c r="A56" s="1">
        <v>53</v>
      </c>
      <c r="B56" s="1">
        <v>58</v>
      </c>
      <c r="C56" s="24">
        <v>0.38950231481481484</v>
      </c>
      <c r="D56" s="1" t="str">
        <f>VLOOKUP(B56,Registration!$B$3:$C$77,2,FALSE)</f>
        <v>Mixed40+</v>
      </c>
      <c r="E56" s="18" t="e">
        <f>#REF!/8.6</f>
        <v>#REF!</v>
      </c>
    </row>
    <row r="57" spans="1:5" x14ac:dyDescent="0.35">
      <c r="A57" s="1">
        <v>54</v>
      </c>
      <c r="B57" s="1">
        <v>60</v>
      </c>
      <c r="C57" s="24">
        <v>0.33582175925925922</v>
      </c>
      <c r="D57" s="1" t="str">
        <f>VLOOKUP(B57,Registration!$B$3:$C$77,2,FALSE)</f>
        <v>Corp</v>
      </c>
      <c r="E57" s="18" t="e">
        <f>#REF!/8.6</f>
        <v>#REF!</v>
      </c>
    </row>
    <row r="58" spans="1:5" x14ac:dyDescent="0.35">
      <c r="A58" s="1">
        <v>55</v>
      </c>
      <c r="B58" s="1">
        <v>61</v>
      </c>
      <c r="C58" s="24">
        <v>0.42835648148148148</v>
      </c>
      <c r="D58" s="1" t="str">
        <f>VLOOKUP(B58,Registration!$B$3:$C$77,2,FALSE)</f>
        <v>Corp</v>
      </c>
      <c r="E58" s="18" t="e">
        <f>#REF!/8.6</f>
        <v>#REF!</v>
      </c>
    </row>
    <row r="59" spans="1:5" x14ac:dyDescent="0.35">
      <c r="A59" s="1">
        <v>56</v>
      </c>
      <c r="B59" s="1">
        <v>62</v>
      </c>
      <c r="C59" s="24">
        <v>0.37975694444444441</v>
      </c>
      <c r="D59" s="1" t="str">
        <f>VLOOKUP(B59,Registration!$B$3:$C$77,2,FALSE)</f>
        <v>Corp</v>
      </c>
      <c r="E59" s="18" t="e">
        <f>#REF!/8.6</f>
        <v>#REF!</v>
      </c>
    </row>
    <row r="60" spans="1:5" x14ac:dyDescent="0.35">
      <c r="A60" s="1">
        <v>57</v>
      </c>
      <c r="B60" s="1">
        <v>63</v>
      </c>
      <c r="C60" s="24">
        <v>0.38177083333333334</v>
      </c>
      <c r="D60" s="1" t="str">
        <f>VLOOKUP(B60,Registration!$B$3:$C$77,2,FALSE)</f>
        <v>Corp</v>
      </c>
      <c r="E60" s="18" t="e">
        <f>#REF!/8.6</f>
        <v>#REF!</v>
      </c>
    </row>
    <row r="61" spans="1:5" x14ac:dyDescent="0.35">
      <c r="A61" s="1">
        <v>58</v>
      </c>
      <c r="B61" s="1">
        <v>64</v>
      </c>
      <c r="C61" s="24">
        <v>0.39792824074074074</v>
      </c>
      <c r="D61" s="1" t="str">
        <f>VLOOKUP(B61,Registration!$B$3:$C$77,2,FALSE)</f>
        <v>Corp</v>
      </c>
      <c r="E61" s="18" t="e">
        <f>#REF!/8.6</f>
        <v>#REF!</v>
      </c>
    </row>
    <row r="62" spans="1:5" x14ac:dyDescent="0.35">
      <c r="A62" s="1">
        <v>59</v>
      </c>
      <c r="B62" s="42">
        <v>65</v>
      </c>
      <c r="C62" s="24">
        <v>0.35877314814814815</v>
      </c>
      <c r="D62" s="1" t="str">
        <f>VLOOKUP(B62,Registration!$B$3:$C$77,2,FALSE)</f>
        <v>Corp</v>
      </c>
      <c r="E62" s="18" t="e">
        <f>#REF!/8.6</f>
        <v>#REF!</v>
      </c>
    </row>
    <row r="63" spans="1:5" x14ac:dyDescent="0.35">
      <c r="A63" s="1">
        <v>60</v>
      </c>
      <c r="B63" s="1">
        <v>66</v>
      </c>
      <c r="C63" s="24">
        <v>0.37837962962962962</v>
      </c>
      <c r="D63" s="1" t="str">
        <f>VLOOKUP(B63,Registration!$B$3:$C$77,2,FALSE)</f>
        <v>Corp</v>
      </c>
      <c r="E63" s="18" t="e">
        <f>#REF!/8.6</f>
        <v>#REF!</v>
      </c>
    </row>
    <row r="64" spans="1:5" x14ac:dyDescent="0.35">
      <c r="A64" s="1">
        <v>61</v>
      </c>
      <c r="B64" s="1">
        <v>67</v>
      </c>
      <c r="C64" s="24">
        <v>0.41957175925925921</v>
      </c>
      <c r="D64" s="1" t="str">
        <f>VLOOKUP(B64,Registration!$B$3:$C$77,2,FALSE)</f>
        <v>Corp</v>
      </c>
      <c r="E64" s="18" t="e">
        <f>#REF!/8.6</f>
        <v>#REF!</v>
      </c>
    </row>
    <row r="65" spans="1:5" x14ac:dyDescent="0.35">
      <c r="A65" s="1">
        <v>62</v>
      </c>
      <c r="B65" s="1">
        <v>68</v>
      </c>
      <c r="C65" s="24">
        <v>0.43332175925925925</v>
      </c>
      <c r="D65" s="1" t="str">
        <f>VLOOKUP(B65,Registration!$B$3:$C$77,2,FALSE)</f>
        <v>HS-Girls</v>
      </c>
      <c r="E65" s="18" t="e">
        <f>#REF!/8.6</f>
        <v>#REF!</v>
      </c>
    </row>
    <row r="66" spans="1:5" x14ac:dyDescent="0.35">
      <c r="A66" s="1">
        <v>63</v>
      </c>
      <c r="B66" s="1">
        <v>69</v>
      </c>
      <c r="C66" s="24">
        <v>0.31440972222222224</v>
      </c>
      <c r="D66" s="1" t="str">
        <f>VLOOKUP(B66,Registration!$B$3:$C$77,2,FALSE)</f>
        <v>HS -Boys</v>
      </c>
      <c r="E66" s="18" t="e">
        <f>#REF!/8.6</f>
        <v>#REF!</v>
      </c>
    </row>
    <row r="67" spans="1:5" x14ac:dyDescent="0.35">
      <c r="A67" s="1">
        <v>64</v>
      </c>
      <c r="B67" s="1">
        <v>70</v>
      </c>
      <c r="C67" s="24">
        <v>0.3105324074074074</v>
      </c>
      <c r="D67" s="1" t="str">
        <f>VLOOKUP(B67,Registration!$B$3:$C$77,2,FALSE)</f>
        <v>HS-Boys</v>
      </c>
      <c r="E67" s="18" t="e">
        <f>#REF!/8.6</f>
        <v>#REF!</v>
      </c>
    </row>
    <row r="68" spans="1:5" x14ac:dyDescent="0.35">
      <c r="A68" s="1">
        <v>65</v>
      </c>
      <c r="B68" s="1">
        <v>71</v>
      </c>
      <c r="C68" s="24">
        <v>0.3225925925925926</v>
      </c>
      <c r="D68" s="1" t="str">
        <f>VLOOKUP(B68,Registration!$B$3:$C$77,2,FALSE)</f>
        <v>HS-Boys</v>
      </c>
      <c r="E68" s="18" t="e">
        <f>#REF!/8.6</f>
        <v>#REF!</v>
      </c>
    </row>
    <row r="69" spans="1:5" x14ac:dyDescent="0.35">
      <c r="A69" s="1">
        <v>66</v>
      </c>
      <c r="B69" s="1">
        <v>72</v>
      </c>
      <c r="C69" s="24">
        <v>0.33550925925925923</v>
      </c>
      <c r="D69" s="1" t="str">
        <f>VLOOKUP(B69,Registration!$B$3:$C$77,2,FALSE)</f>
        <v>HS-Boys</v>
      </c>
      <c r="E69" s="18" t="e">
        <f>#REF!/8.6</f>
        <v>#REF!</v>
      </c>
    </row>
    <row r="70" spans="1:5" x14ac:dyDescent="0.35">
      <c r="A70" s="1">
        <v>67</v>
      </c>
      <c r="B70" s="1">
        <v>73</v>
      </c>
      <c r="C70" s="24">
        <v>0.27968750000000003</v>
      </c>
      <c r="D70" s="1" t="str">
        <f>VLOOKUP(B70,Registration!$B$3:$C$77,2,FALSE)</f>
        <v>HS-Boys</v>
      </c>
      <c r="E70" s="18" t="e">
        <f>#REF!/8.6</f>
        <v>#REF!</v>
      </c>
    </row>
    <row r="71" spans="1:5" x14ac:dyDescent="0.35">
      <c r="D71" s="1"/>
      <c r="E71" s="18"/>
    </row>
    <row r="72" spans="1:5" x14ac:dyDescent="0.35">
      <c r="D72" s="1"/>
      <c r="E72" s="18"/>
    </row>
    <row r="73" spans="1:5" x14ac:dyDescent="0.35">
      <c r="D73" s="1"/>
      <c r="E73" s="18"/>
    </row>
    <row r="74" spans="1:5" x14ac:dyDescent="0.35">
      <c r="D74" s="1"/>
      <c r="E74" s="18"/>
    </row>
    <row r="75" spans="1:5" x14ac:dyDescent="0.35">
      <c r="D75" s="1"/>
      <c r="E75" s="18"/>
    </row>
    <row r="76" spans="1:5" x14ac:dyDescent="0.35">
      <c r="D76" s="1"/>
      <c r="E76" s="18"/>
    </row>
    <row r="77" spans="1:5" x14ac:dyDescent="0.35">
      <c r="D77" s="1"/>
      <c r="E77" s="18"/>
    </row>
  </sheetData>
  <sortState ref="B4:D70">
    <sortCondition ref="B4:B7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8"/>
  <sheetViews>
    <sheetView workbookViewId="0">
      <selection activeCell="F2" sqref="F2"/>
    </sheetView>
  </sheetViews>
  <sheetFormatPr defaultColWidth="8.81640625" defaultRowHeight="14.5" x14ac:dyDescent="0.35"/>
  <cols>
    <col min="1" max="1" width="6.36328125" customWidth="1"/>
    <col min="2" max="2" width="6.1796875" bestFit="1" customWidth="1"/>
    <col min="3" max="3" width="9.81640625" style="27" customWidth="1"/>
    <col min="4" max="4" width="10.1796875" customWidth="1"/>
    <col min="5" max="5" width="8.81640625" style="1"/>
  </cols>
  <sheetData>
    <row r="1" spans="1:6" ht="18.5" x14ac:dyDescent="0.45">
      <c r="A1" s="4" t="s">
        <v>14</v>
      </c>
      <c r="B1" s="5">
        <v>2018</v>
      </c>
      <c r="C1" s="26"/>
      <c r="D1" s="10"/>
      <c r="E1" s="31"/>
    </row>
    <row r="2" spans="1:6" ht="18.5" x14ac:dyDescent="0.45">
      <c r="B2" s="5"/>
      <c r="C2" s="26"/>
      <c r="D2" s="10"/>
      <c r="E2" s="31"/>
      <c r="F2" s="34" t="s">
        <v>26</v>
      </c>
    </row>
    <row r="3" spans="1:6" ht="15.5" x14ac:dyDescent="0.35">
      <c r="A3" s="12" t="s">
        <v>16</v>
      </c>
      <c r="B3" s="9" t="s">
        <v>5</v>
      </c>
      <c r="C3" s="20" t="s">
        <v>15</v>
      </c>
      <c r="D3" s="6" t="s">
        <v>0</v>
      </c>
      <c r="E3" s="6" t="s">
        <v>1</v>
      </c>
      <c r="F3" s="21" t="s">
        <v>17</v>
      </c>
    </row>
    <row r="4" spans="1:6" x14ac:dyDescent="0.35">
      <c r="A4" s="1">
        <v>1</v>
      </c>
      <c r="B4">
        <v>1</v>
      </c>
      <c r="C4" s="27">
        <v>0.28567129629629628</v>
      </c>
      <c r="D4" s="1" t="str">
        <f>VLOOKUP(B4,Registration!$B$3:$C$77,2,FALSE)</f>
        <v>Men's</v>
      </c>
      <c r="F4" s="16" t="e">
        <f>#REF!/11.1</f>
        <v>#REF!</v>
      </c>
    </row>
    <row r="5" spans="1:6" x14ac:dyDescent="0.35">
      <c r="A5" s="1">
        <v>2</v>
      </c>
      <c r="B5">
        <v>8</v>
      </c>
      <c r="C5" s="27">
        <v>0.2883101851851852</v>
      </c>
      <c r="D5" s="1" t="str">
        <f>VLOOKUP(B5,Registration!$B$3:$C$77,2,FALSE)</f>
        <v>Men's</v>
      </c>
      <c r="F5" s="16" t="e">
        <f>#REF!/11.1</f>
        <v>#REF!</v>
      </c>
    </row>
    <row r="6" spans="1:6" x14ac:dyDescent="0.35">
      <c r="A6" s="1">
        <v>3</v>
      </c>
      <c r="B6">
        <v>3</v>
      </c>
      <c r="C6" s="27">
        <v>0.3122685185185185</v>
      </c>
      <c r="D6" s="1" t="str">
        <f>VLOOKUP(B6,Registration!$B$3:$C$77,2,FALSE)</f>
        <v>Men's</v>
      </c>
      <c r="F6" s="16" t="e">
        <f>#REF!/11.1</f>
        <v>#REF!</v>
      </c>
    </row>
    <row r="7" spans="1:6" x14ac:dyDescent="0.35">
      <c r="A7" s="1">
        <v>4</v>
      </c>
      <c r="B7">
        <v>9</v>
      </c>
      <c r="C7" s="27">
        <v>0.31905092592592593</v>
      </c>
      <c r="D7" s="1" t="str">
        <f>VLOOKUP(B7,Registration!$B$3:$C$77,2,FALSE)</f>
        <v>Men's</v>
      </c>
      <c r="F7" s="16" t="e">
        <f>#REF!/11.1</f>
        <v>#REF!</v>
      </c>
    </row>
    <row r="8" spans="1:6" x14ac:dyDescent="0.35">
      <c r="A8" s="1">
        <v>5</v>
      </c>
      <c r="B8">
        <v>10</v>
      </c>
      <c r="C8" s="27">
        <v>0.31982638888888887</v>
      </c>
      <c r="D8" s="1" t="str">
        <f>VLOOKUP(B8,Registration!$B$3:$C$77,2,FALSE)</f>
        <v>Men40+</v>
      </c>
      <c r="F8" s="16" t="e">
        <f>#REF!/11.1</f>
        <v>#REF!</v>
      </c>
    </row>
    <row r="9" spans="1:6" x14ac:dyDescent="0.35">
      <c r="A9" s="1">
        <v>6</v>
      </c>
      <c r="B9">
        <v>73</v>
      </c>
      <c r="C9" s="27">
        <v>0.32894675925925926</v>
      </c>
      <c r="D9" s="1" t="str">
        <f>VLOOKUP(B9,Registration!$B$3:$C$77,2,FALSE)</f>
        <v>HS-Boys</v>
      </c>
      <c r="F9" s="16" t="e">
        <f>#REF!/11.1</f>
        <v>#REF!</v>
      </c>
    </row>
    <row r="10" spans="1:6" x14ac:dyDescent="0.35">
      <c r="A10" s="1">
        <v>7</v>
      </c>
      <c r="B10">
        <v>18</v>
      </c>
      <c r="C10" s="27">
        <v>0.33082175925925927</v>
      </c>
      <c r="D10" s="1" t="str">
        <f>VLOOKUP(B10,Registration!$B$3:$C$77,2,FALSE)</f>
        <v>Mixed</v>
      </c>
      <c r="F10" s="16" t="e">
        <f>#REF!/11.1</f>
        <v>#REF!</v>
      </c>
    </row>
    <row r="11" spans="1:6" x14ac:dyDescent="0.35">
      <c r="A11" s="1">
        <v>8</v>
      </c>
      <c r="B11">
        <v>16</v>
      </c>
      <c r="C11" s="27">
        <v>0.35038194444444448</v>
      </c>
      <c r="D11" s="1" t="str">
        <f>VLOOKUP(B11,Registration!$B$3:$C$77,2,FALSE)</f>
        <v>Womens</v>
      </c>
      <c r="F11" s="16" t="e">
        <f>#REF!/11.1</f>
        <v>#REF!</v>
      </c>
    </row>
    <row r="12" spans="1:6" x14ac:dyDescent="0.35">
      <c r="A12" s="1">
        <v>9</v>
      </c>
      <c r="B12">
        <v>50</v>
      </c>
      <c r="C12" s="27">
        <v>0.35268518518518516</v>
      </c>
      <c r="D12" s="1" t="str">
        <f>VLOOKUP(B12,Registration!$B$3:$C$77,2,FALSE)</f>
        <v>Mixed</v>
      </c>
      <c r="F12" s="16" t="e">
        <f>#REF!/11.1</f>
        <v>#REF!</v>
      </c>
    </row>
    <row r="13" spans="1:6" x14ac:dyDescent="0.35">
      <c r="A13" s="1">
        <v>10</v>
      </c>
      <c r="B13">
        <v>6</v>
      </c>
      <c r="C13" s="27">
        <v>0.35607638888888887</v>
      </c>
      <c r="D13" s="1" t="str">
        <f>VLOOKUP(B13,Registration!$B$3:$C$77,2,FALSE)</f>
        <v>Men's</v>
      </c>
      <c r="F13" s="16" t="e">
        <f>#REF!/11.1</f>
        <v>#REF!</v>
      </c>
    </row>
    <row r="14" spans="1:6" x14ac:dyDescent="0.35">
      <c r="A14" s="1">
        <v>11</v>
      </c>
      <c r="B14">
        <v>70</v>
      </c>
      <c r="C14" s="27">
        <v>0.36019675925925926</v>
      </c>
      <c r="D14" s="1" t="str">
        <f>VLOOKUP(B14,Registration!$B$3:$C$77,2,FALSE)</f>
        <v>HS-Boys</v>
      </c>
      <c r="F14" s="16" t="e">
        <f>#REF!/11.1</f>
        <v>#REF!</v>
      </c>
    </row>
    <row r="15" spans="1:6" x14ac:dyDescent="0.35">
      <c r="A15" s="1">
        <v>12</v>
      </c>
      <c r="B15">
        <v>69</v>
      </c>
      <c r="C15" s="27">
        <v>0.36115740740740737</v>
      </c>
      <c r="D15" s="1" t="str">
        <f>VLOOKUP(B15,Registration!$B$3:$C$77,2,FALSE)</f>
        <v>HS -Boys</v>
      </c>
      <c r="F15" s="16" t="e">
        <f>#REF!/11.1</f>
        <v>#REF!</v>
      </c>
    </row>
    <row r="16" spans="1:6" x14ac:dyDescent="0.35">
      <c r="A16" s="1">
        <v>13</v>
      </c>
      <c r="B16">
        <v>21</v>
      </c>
      <c r="C16" s="27">
        <v>0.36546296296296293</v>
      </c>
      <c r="D16" s="1" t="str">
        <f>VLOOKUP(B16,Registration!$B$3:$C$77,2,FALSE)</f>
        <v>Womens</v>
      </c>
      <c r="F16" s="16" t="e">
        <f>#REF!/11.1</f>
        <v>#REF!</v>
      </c>
    </row>
    <row r="17" spans="1:6" x14ac:dyDescent="0.35">
      <c r="A17" s="1">
        <v>14</v>
      </c>
      <c r="B17">
        <v>52</v>
      </c>
      <c r="C17" s="27">
        <v>0.36814814814814811</v>
      </c>
      <c r="D17" s="1" t="str">
        <f>VLOOKUP(B17,Registration!$B$3:$C$77,2,FALSE)</f>
        <v>Men's</v>
      </c>
      <c r="F17" s="16" t="e">
        <f>#REF!/11.1</f>
        <v>#REF!</v>
      </c>
    </row>
    <row r="18" spans="1:6" x14ac:dyDescent="0.35">
      <c r="A18" s="1">
        <v>15</v>
      </c>
      <c r="B18">
        <v>37</v>
      </c>
      <c r="C18" s="27">
        <v>0.37107638888888889</v>
      </c>
      <c r="D18" s="1" t="str">
        <f>VLOOKUP(B18,Registration!$B$3:$C$77,2,FALSE)</f>
        <v>Mixed</v>
      </c>
      <c r="F18" s="16" t="e">
        <f>#REF!/11.1</f>
        <v>#REF!</v>
      </c>
    </row>
    <row r="19" spans="1:6" x14ac:dyDescent="0.35">
      <c r="A19" s="1">
        <v>16</v>
      </c>
      <c r="B19">
        <v>26</v>
      </c>
      <c r="C19" s="27">
        <v>0.37240740740740735</v>
      </c>
      <c r="D19" s="1" t="str">
        <f>VLOOKUP(B19,Registration!$B$3:$C$77,2,FALSE)</f>
        <v>Mixed</v>
      </c>
      <c r="F19" s="16" t="e">
        <f>#REF!/11.1</f>
        <v>#REF!</v>
      </c>
    </row>
    <row r="20" spans="1:6" x14ac:dyDescent="0.35">
      <c r="A20" s="1">
        <v>17</v>
      </c>
      <c r="B20">
        <v>55</v>
      </c>
      <c r="C20" s="27">
        <v>0.37247685185185181</v>
      </c>
      <c r="D20" s="1" t="str">
        <f>VLOOKUP(B20,Registration!$B$3:$C$77,2,FALSE)</f>
        <v>Mixed40+</v>
      </c>
      <c r="F20" s="16" t="e">
        <f>#REF!/11.1</f>
        <v>#REF!</v>
      </c>
    </row>
    <row r="21" spans="1:6" x14ac:dyDescent="0.35">
      <c r="A21" s="1">
        <v>18</v>
      </c>
      <c r="B21">
        <v>71</v>
      </c>
      <c r="C21" s="27">
        <v>0.38560185185185186</v>
      </c>
      <c r="D21" s="1" t="str">
        <f>VLOOKUP(B21,Registration!$B$3:$C$77,2,FALSE)</f>
        <v>HS-Boys</v>
      </c>
      <c r="F21" s="16" t="e">
        <f>#REF!/11.1</f>
        <v>#REF!</v>
      </c>
    </row>
    <row r="22" spans="1:6" x14ac:dyDescent="0.35">
      <c r="A22" s="1">
        <v>19</v>
      </c>
      <c r="B22">
        <v>72</v>
      </c>
      <c r="C22" s="27">
        <v>0.38611111111111113</v>
      </c>
      <c r="D22" s="1" t="str">
        <f>VLOOKUP(B22,Registration!$B$3:$C$77,2,FALSE)</f>
        <v>HS-Boys</v>
      </c>
      <c r="F22" s="16" t="e">
        <f>#REF!/11.1</f>
        <v>#REF!</v>
      </c>
    </row>
    <row r="23" spans="1:6" x14ac:dyDescent="0.35">
      <c r="A23" s="1">
        <v>20</v>
      </c>
      <c r="B23">
        <v>60</v>
      </c>
      <c r="C23" s="27">
        <v>0.38619212962962962</v>
      </c>
      <c r="D23" s="1" t="str">
        <f>VLOOKUP(B23,Registration!$B$3:$C$77,2,FALSE)</f>
        <v>Corp</v>
      </c>
      <c r="F23" s="16" t="e">
        <f>#REF!/11.1</f>
        <v>#REF!</v>
      </c>
    </row>
    <row r="24" spans="1:6" x14ac:dyDescent="0.35">
      <c r="A24" s="1">
        <v>21</v>
      </c>
      <c r="B24">
        <v>43</v>
      </c>
      <c r="C24" s="27">
        <v>0.39034722222222223</v>
      </c>
      <c r="D24" s="1" t="str">
        <f>VLOOKUP(B24,Registration!$B$3:$C$77,2,FALSE)</f>
        <v>Mixed</v>
      </c>
      <c r="F24" s="16" t="e">
        <f>#REF!/11.1</f>
        <v>#REF!</v>
      </c>
    </row>
    <row r="25" spans="1:6" x14ac:dyDescent="0.35">
      <c r="A25" s="1">
        <v>22</v>
      </c>
      <c r="B25">
        <v>22</v>
      </c>
      <c r="C25" s="27">
        <v>0.39130787037037035</v>
      </c>
      <c r="D25" s="1" t="str">
        <f>VLOOKUP(B25,Registration!$B$3:$C$77,2,FALSE)</f>
        <v>Wmn 40+</v>
      </c>
      <c r="F25" s="16" t="e">
        <f>#REF!/11.1</f>
        <v>#REF!</v>
      </c>
    </row>
    <row r="26" spans="1:6" x14ac:dyDescent="0.35">
      <c r="A26" s="1">
        <v>23</v>
      </c>
      <c r="B26">
        <v>25</v>
      </c>
      <c r="C26" s="27">
        <v>0.39737268518518515</v>
      </c>
      <c r="D26" s="1" t="str">
        <f>VLOOKUP(B26,Registration!$B$3:$C$77,2,FALSE)</f>
        <v>Mixed</v>
      </c>
      <c r="F26" s="16" t="e">
        <f>#REF!/11.1</f>
        <v>#REF!</v>
      </c>
    </row>
    <row r="27" spans="1:6" x14ac:dyDescent="0.35">
      <c r="A27" s="1">
        <v>24</v>
      </c>
      <c r="B27">
        <v>24</v>
      </c>
      <c r="C27" s="27">
        <v>0.39759259259259255</v>
      </c>
      <c r="D27" s="1" t="str">
        <f>VLOOKUP(B27,Registration!$B$3:$C$77,2,FALSE)</f>
        <v>Mixed</v>
      </c>
      <c r="F27" s="16" t="e">
        <f>#REF!/11.1</f>
        <v>#REF!</v>
      </c>
    </row>
    <row r="28" spans="1:6" x14ac:dyDescent="0.35">
      <c r="A28" s="1">
        <v>25</v>
      </c>
      <c r="B28">
        <v>35</v>
      </c>
      <c r="C28" s="27">
        <v>0.40371527777777777</v>
      </c>
      <c r="D28" s="1" t="str">
        <f>VLOOKUP(B28,Registration!$B$3:$C$77,2,FALSE)</f>
        <v>Mixed</v>
      </c>
      <c r="F28" s="16" t="e">
        <f>#REF!/11.1</f>
        <v>#REF!</v>
      </c>
    </row>
    <row r="29" spans="1:6" x14ac:dyDescent="0.35">
      <c r="A29" s="1">
        <v>26</v>
      </c>
      <c r="B29">
        <v>39</v>
      </c>
      <c r="C29" s="27">
        <v>0.40445601851851848</v>
      </c>
      <c r="D29" s="1" t="str">
        <f>VLOOKUP(B29,Registration!$B$3:$C$77,2,FALSE)</f>
        <v>Mixed</v>
      </c>
      <c r="F29" s="16" t="e">
        <f>#REF!/11.1</f>
        <v>#REF!</v>
      </c>
    </row>
    <row r="30" spans="1:6" x14ac:dyDescent="0.35">
      <c r="A30" s="1">
        <v>27</v>
      </c>
      <c r="B30">
        <v>12</v>
      </c>
      <c r="C30" s="27">
        <v>0.40531249999999996</v>
      </c>
      <c r="D30" s="1" t="str">
        <f>VLOOKUP(B30,Registration!$B$3:$C$77,2,FALSE)</f>
        <v>Men50+</v>
      </c>
      <c r="F30" s="16" t="e">
        <f>#REF!/11.1</f>
        <v>#REF!</v>
      </c>
    </row>
    <row r="31" spans="1:6" x14ac:dyDescent="0.35">
      <c r="A31" s="1">
        <v>28</v>
      </c>
      <c r="B31">
        <v>11</v>
      </c>
      <c r="C31" s="27">
        <v>0.40814814814814815</v>
      </c>
      <c r="D31" s="1" t="str">
        <f>VLOOKUP(B31,Registration!$B$3:$C$77,2,FALSE)</f>
        <v>Men50+</v>
      </c>
      <c r="F31" s="16" t="e">
        <f>#REF!/11.1</f>
        <v>#REF!</v>
      </c>
    </row>
    <row r="32" spans="1:6" x14ac:dyDescent="0.35">
      <c r="A32" s="1">
        <v>29</v>
      </c>
      <c r="B32">
        <v>34</v>
      </c>
      <c r="C32" s="27">
        <v>0.40865740740740741</v>
      </c>
      <c r="D32" s="1" t="str">
        <f>VLOOKUP(B32,Registration!$B$3:$C$77,2,FALSE)</f>
        <v>Mixed</v>
      </c>
      <c r="F32" s="16" t="e">
        <f>#REF!/11.1</f>
        <v>#REF!</v>
      </c>
    </row>
    <row r="33" spans="1:6" x14ac:dyDescent="0.35">
      <c r="A33" s="1">
        <v>30</v>
      </c>
      <c r="B33">
        <v>31</v>
      </c>
      <c r="C33" s="27">
        <v>0.41120370370370374</v>
      </c>
      <c r="D33" s="1" t="str">
        <f>VLOOKUP(B33,Registration!$B$3:$C$77,2,FALSE)</f>
        <v>Mixed</v>
      </c>
      <c r="F33" s="16" t="e">
        <f>#REF!/11.1</f>
        <v>#REF!</v>
      </c>
    </row>
    <row r="34" spans="1:6" x14ac:dyDescent="0.35">
      <c r="A34" s="1">
        <v>31</v>
      </c>
      <c r="B34">
        <v>28</v>
      </c>
      <c r="C34" s="27">
        <v>0.41250000000000003</v>
      </c>
      <c r="D34" s="1" t="str">
        <f>VLOOKUP(B34,Registration!$B$3:$C$77,2,FALSE)</f>
        <v>Mixed</v>
      </c>
      <c r="F34" s="16" t="e">
        <f>#REF!/11.1</f>
        <v>#REF!</v>
      </c>
    </row>
    <row r="35" spans="1:6" x14ac:dyDescent="0.35">
      <c r="A35" s="1">
        <v>32</v>
      </c>
      <c r="B35">
        <v>38</v>
      </c>
      <c r="C35" s="27">
        <v>0.4133101851851852</v>
      </c>
      <c r="D35" s="1" t="str">
        <f>VLOOKUP(B35,Registration!$B$3:$C$77,2,FALSE)</f>
        <v>Mixed</v>
      </c>
      <c r="F35" s="16" t="e">
        <f>#REF!/11.1</f>
        <v>#REF!</v>
      </c>
    </row>
    <row r="36" spans="1:6" x14ac:dyDescent="0.35">
      <c r="A36" s="1">
        <v>33</v>
      </c>
      <c r="B36">
        <v>19</v>
      </c>
      <c r="C36" s="27">
        <v>0.41422453703703704</v>
      </c>
      <c r="D36" s="1" t="str">
        <f>VLOOKUP(B36,Registration!$B$3:$C$77,2,FALSE)</f>
        <v>Womens</v>
      </c>
      <c r="F36" s="16" t="e">
        <f>#REF!/11.1</f>
        <v>#REF!</v>
      </c>
    </row>
    <row r="37" spans="1:6" x14ac:dyDescent="0.35">
      <c r="A37" s="1">
        <v>34</v>
      </c>
      <c r="B37">
        <v>65</v>
      </c>
      <c r="C37" s="27">
        <v>0.4231712962962963</v>
      </c>
      <c r="D37" s="1" t="str">
        <f>VLOOKUP(B37,Registration!$B$3:$C$77,2,FALSE)</f>
        <v>Corp</v>
      </c>
      <c r="F37" s="16" t="e">
        <f>#REF!/11.1</f>
        <v>#REF!</v>
      </c>
    </row>
    <row r="38" spans="1:6" x14ac:dyDescent="0.35">
      <c r="A38" s="1">
        <v>35</v>
      </c>
      <c r="B38">
        <v>30</v>
      </c>
      <c r="C38" s="27">
        <v>0.42555555555555552</v>
      </c>
      <c r="D38" s="1" t="str">
        <f>VLOOKUP(B38,Registration!$B$3:$C$77,2,FALSE)</f>
        <v>Mixed</v>
      </c>
      <c r="F38" s="16" t="e">
        <f>#REF!/11.1</f>
        <v>#REF!</v>
      </c>
    </row>
    <row r="39" spans="1:6" x14ac:dyDescent="0.35">
      <c r="A39" s="1">
        <v>36</v>
      </c>
      <c r="B39">
        <v>32</v>
      </c>
      <c r="C39" s="27">
        <v>0.42809027777777775</v>
      </c>
      <c r="D39" s="1" t="str">
        <f>VLOOKUP(B39,Registration!$B$3:$C$77,2,FALSE)</f>
        <v>Mixed</v>
      </c>
      <c r="F39" s="16" t="e">
        <f>#REF!/11.1</f>
        <v>#REF!</v>
      </c>
    </row>
    <row r="40" spans="1:6" x14ac:dyDescent="0.35">
      <c r="A40" s="1">
        <v>37</v>
      </c>
      <c r="B40">
        <v>66</v>
      </c>
      <c r="C40" s="27">
        <v>0.43089120370370365</v>
      </c>
      <c r="D40" s="1" t="str">
        <f>VLOOKUP(B40,Registration!$B$3:$C$77,2,FALSE)</f>
        <v>Corp</v>
      </c>
      <c r="F40" s="16" t="e">
        <f>#REF!/11.1</f>
        <v>#REF!</v>
      </c>
    </row>
    <row r="41" spans="1:6" x14ac:dyDescent="0.35">
      <c r="A41" s="1">
        <v>38</v>
      </c>
      <c r="B41">
        <v>36</v>
      </c>
      <c r="C41" s="27">
        <v>0.43111111111111117</v>
      </c>
      <c r="D41" s="1" t="str">
        <f>VLOOKUP(B41,Registration!$B$3:$C$77,2,FALSE)</f>
        <v>Mixed</v>
      </c>
      <c r="F41" s="16" t="e">
        <f>#REF!/11.1</f>
        <v>#REF!</v>
      </c>
    </row>
    <row r="42" spans="1:6" x14ac:dyDescent="0.35">
      <c r="A42" s="1">
        <v>39</v>
      </c>
      <c r="B42">
        <v>29</v>
      </c>
      <c r="C42" s="27">
        <v>0.43145833333333333</v>
      </c>
      <c r="D42" s="1" t="str">
        <f>VLOOKUP(B42,Registration!$B$3:$C$77,2,FALSE)</f>
        <v>Mixed</v>
      </c>
      <c r="F42" s="16" t="e">
        <f>#REF!/11.1</f>
        <v>#REF!</v>
      </c>
    </row>
    <row r="43" spans="1:6" x14ac:dyDescent="0.35">
      <c r="A43" s="1">
        <v>40</v>
      </c>
      <c r="B43">
        <v>56</v>
      </c>
      <c r="C43" s="27">
        <v>0.43688657407407411</v>
      </c>
      <c r="D43" s="1" t="str">
        <f>VLOOKUP(B43,Registration!$B$3:$C$77,2,FALSE)</f>
        <v>Mixed40+</v>
      </c>
      <c r="F43" s="16" t="e">
        <f>#REF!/11.1</f>
        <v>#REF!</v>
      </c>
    </row>
    <row r="44" spans="1:6" x14ac:dyDescent="0.35">
      <c r="A44" s="1">
        <v>41</v>
      </c>
      <c r="B44">
        <v>45</v>
      </c>
      <c r="C44" s="27">
        <v>0.43903935185185183</v>
      </c>
      <c r="D44" s="1" t="str">
        <f>VLOOKUP(B44,Registration!$B$3:$C$77,2,FALSE)</f>
        <v>Mixed</v>
      </c>
      <c r="F44" s="16" t="e">
        <f>#REF!/11.1</f>
        <v>#REF!</v>
      </c>
    </row>
    <row r="45" spans="1:6" x14ac:dyDescent="0.35">
      <c r="A45" s="1">
        <v>42</v>
      </c>
      <c r="B45">
        <v>57</v>
      </c>
      <c r="C45" s="27">
        <v>0.440462962962963</v>
      </c>
      <c r="D45" s="1" t="str">
        <f>VLOOKUP(B45,Registration!$B$3:$C$77,2,FALSE)</f>
        <v>Mixed40+</v>
      </c>
      <c r="F45" s="16" t="e">
        <f>#REF!/11.1</f>
        <v>#REF!</v>
      </c>
    </row>
    <row r="46" spans="1:6" x14ac:dyDescent="0.35">
      <c r="A46" s="1">
        <v>43</v>
      </c>
      <c r="B46">
        <v>62</v>
      </c>
      <c r="C46" s="27">
        <v>0.44254629629629627</v>
      </c>
      <c r="D46" s="1" t="str">
        <f>VLOOKUP(B46,Registration!$B$3:$C$77,2,FALSE)</f>
        <v>Corp</v>
      </c>
      <c r="F46" s="16" t="e">
        <f>#REF!/11.1</f>
        <v>#REF!</v>
      </c>
    </row>
    <row r="47" spans="1:6" x14ac:dyDescent="0.35">
      <c r="A47" s="1">
        <v>44</v>
      </c>
      <c r="B47">
        <v>63</v>
      </c>
      <c r="C47" s="27">
        <v>0.44523148148148151</v>
      </c>
      <c r="D47" s="1" t="str">
        <f>VLOOKUP(B47,Registration!$B$3:$C$77,2,FALSE)</f>
        <v>Corp</v>
      </c>
      <c r="F47" s="16" t="e">
        <f>#REF!/11.1</f>
        <v>#REF!</v>
      </c>
    </row>
    <row r="48" spans="1:6" x14ac:dyDescent="0.35">
      <c r="A48" s="1">
        <v>45</v>
      </c>
      <c r="B48">
        <v>27</v>
      </c>
      <c r="C48" s="27">
        <v>0.44699074074074074</v>
      </c>
      <c r="D48" s="1" t="str">
        <f>VLOOKUP(B48,Registration!$B$3:$C$77,2,FALSE)</f>
        <v>Mixed</v>
      </c>
      <c r="F48" s="16" t="e">
        <f>#REF!/11.1</f>
        <v>#REF!</v>
      </c>
    </row>
    <row r="49" spans="1:6" x14ac:dyDescent="0.35">
      <c r="A49" s="1">
        <v>46</v>
      </c>
      <c r="B49">
        <v>4</v>
      </c>
      <c r="C49" s="27">
        <v>0.44807870370370373</v>
      </c>
      <c r="D49" s="1" t="str">
        <f>VLOOKUP(B49,Registration!$B$3:$C$77,2,FALSE)</f>
        <v>Men's</v>
      </c>
      <c r="F49" s="16" t="e">
        <f>#REF!/11.1</f>
        <v>#REF!</v>
      </c>
    </row>
    <row r="50" spans="1:6" x14ac:dyDescent="0.35">
      <c r="A50" s="1">
        <v>47</v>
      </c>
      <c r="B50">
        <v>49</v>
      </c>
      <c r="C50" s="27">
        <v>0.45100694444444445</v>
      </c>
      <c r="D50" s="1" t="str">
        <f>VLOOKUP(B50,Registration!$B$3:$C$77,2,FALSE)</f>
        <v>Mixed</v>
      </c>
      <c r="F50" s="16" t="e">
        <f>#REF!/11.1</f>
        <v>#REF!</v>
      </c>
    </row>
    <row r="51" spans="1:6" x14ac:dyDescent="0.35">
      <c r="A51" s="1">
        <v>48</v>
      </c>
      <c r="B51">
        <v>42</v>
      </c>
      <c r="C51" s="27">
        <v>0.45202546296296298</v>
      </c>
      <c r="D51" s="1" t="str">
        <f>VLOOKUP(B51,Registration!$B$3:$C$77,2,FALSE)</f>
        <v>Mixed</v>
      </c>
      <c r="F51" s="16" t="e">
        <f>#REF!/11.1</f>
        <v>#REF!</v>
      </c>
    </row>
    <row r="52" spans="1:6" x14ac:dyDescent="0.35">
      <c r="A52" s="1">
        <v>49</v>
      </c>
      <c r="B52">
        <v>58</v>
      </c>
      <c r="C52" s="27">
        <v>0.46136574074074077</v>
      </c>
      <c r="D52" s="1" t="str">
        <f>VLOOKUP(B52,Registration!$B$3:$C$77,2,FALSE)</f>
        <v>Mixed40+</v>
      </c>
      <c r="F52" s="16" t="e">
        <f>#REF!/11.1</f>
        <v>#REF!</v>
      </c>
    </row>
    <row r="53" spans="1:6" x14ac:dyDescent="0.35">
      <c r="A53" s="1">
        <v>50</v>
      </c>
      <c r="B53">
        <v>17</v>
      </c>
      <c r="C53" s="27">
        <v>0.46334490740740741</v>
      </c>
      <c r="D53" s="1" t="str">
        <f>VLOOKUP(B53,Registration!$B$3:$C$77,2,FALSE)</f>
        <v>Womens</v>
      </c>
      <c r="F53" s="16" t="e">
        <f>#REF!/11.1</f>
        <v>#REF!</v>
      </c>
    </row>
    <row r="54" spans="1:6" x14ac:dyDescent="0.35">
      <c r="A54" s="1">
        <v>51</v>
      </c>
      <c r="B54">
        <v>47</v>
      </c>
      <c r="C54" s="27">
        <v>0.46849537037037042</v>
      </c>
      <c r="D54" s="1" t="str">
        <f>VLOOKUP(B54,Registration!$B$3:$C$77,2,FALSE)</f>
        <v>Mixed</v>
      </c>
      <c r="F54" s="16" t="e">
        <f>#REF!/11.1</f>
        <v>#REF!</v>
      </c>
    </row>
    <row r="55" spans="1:6" x14ac:dyDescent="0.35">
      <c r="A55" s="1">
        <v>52</v>
      </c>
      <c r="B55">
        <v>13</v>
      </c>
      <c r="C55" s="27">
        <v>0.47016203703703702</v>
      </c>
      <c r="D55" s="1" t="str">
        <f>VLOOKUP(B55,Registration!$B$3:$C$77,2,FALSE)</f>
        <v>Ultra</v>
      </c>
      <c r="F55" s="16" t="e">
        <f>#REF!/11.1</f>
        <v>#REF!</v>
      </c>
    </row>
    <row r="56" spans="1:6" x14ac:dyDescent="0.35">
      <c r="A56" s="1">
        <v>53</v>
      </c>
      <c r="B56">
        <v>51</v>
      </c>
      <c r="C56" s="27">
        <v>0.47302083333333328</v>
      </c>
      <c r="D56" s="1" t="str">
        <f>VLOOKUP(B56,Registration!$B$3:$C$77,2,FALSE)</f>
        <v>Mixed</v>
      </c>
      <c r="F56" s="16" t="e">
        <f>#REF!/11.1</f>
        <v>#REF!</v>
      </c>
    </row>
    <row r="57" spans="1:6" x14ac:dyDescent="0.35">
      <c r="A57" s="1">
        <v>54</v>
      </c>
      <c r="B57">
        <v>64</v>
      </c>
      <c r="C57" s="27">
        <v>0.47384259259259259</v>
      </c>
      <c r="D57" s="1" t="str">
        <f>VLOOKUP(B57,Registration!$B$3:$C$77,2,FALSE)</f>
        <v>Corp</v>
      </c>
      <c r="F57" s="16" t="e">
        <f>#REF!/11.1</f>
        <v>#REF!</v>
      </c>
    </row>
    <row r="58" spans="1:6" x14ac:dyDescent="0.35">
      <c r="A58" s="1">
        <v>55</v>
      </c>
      <c r="B58">
        <v>67</v>
      </c>
      <c r="C58" s="27">
        <v>0.47998842592592594</v>
      </c>
      <c r="D58" s="1" t="str">
        <f>VLOOKUP(B58,Registration!$B$3:$C$77,2,FALSE)</f>
        <v>Corp</v>
      </c>
      <c r="F58" s="16" t="e">
        <f>#REF!/11.1</f>
        <v>#REF!</v>
      </c>
    </row>
    <row r="59" spans="1:6" x14ac:dyDescent="0.35">
      <c r="A59" s="1">
        <v>56</v>
      </c>
      <c r="B59">
        <v>7</v>
      </c>
      <c r="C59" s="27">
        <v>0.48060185185185184</v>
      </c>
      <c r="D59" s="1" t="str">
        <f>VLOOKUP(B59,Registration!$B$3:$C$77,2,FALSE)</f>
        <v>Men's</v>
      </c>
      <c r="F59" s="16" t="e">
        <f>#REF!/11.1</f>
        <v>#REF!</v>
      </c>
    </row>
    <row r="60" spans="1:6" x14ac:dyDescent="0.35">
      <c r="A60" s="1">
        <v>57</v>
      </c>
      <c r="B60">
        <v>5</v>
      </c>
      <c r="C60" s="27">
        <v>0.48466435185185186</v>
      </c>
      <c r="D60" s="1" t="str">
        <f>VLOOKUP(B60,Registration!$B$3:$C$77,2,FALSE)</f>
        <v>Men's</v>
      </c>
      <c r="F60" s="16" t="e">
        <f>#REF!/11.1</f>
        <v>#REF!</v>
      </c>
    </row>
    <row r="61" spans="1:6" x14ac:dyDescent="0.35">
      <c r="A61" s="1">
        <v>58</v>
      </c>
      <c r="B61">
        <v>61</v>
      </c>
      <c r="C61" s="27">
        <v>0.48496527777777776</v>
      </c>
      <c r="D61" s="1" t="str">
        <f>VLOOKUP(B61,Registration!$B$3:$C$77,2,FALSE)</f>
        <v>Corp</v>
      </c>
      <c r="F61" s="16" t="e">
        <f>#REF!/11.1</f>
        <v>#REF!</v>
      </c>
    </row>
    <row r="62" spans="1:6" x14ac:dyDescent="0.35">
      <c r="A62" s="1">
        <v>59</v>
      </c>
      <c r="B62">
        <v>23</v>
      </c>
      <c r="C62" s="27">
        <v>0.48709490740740741</v>
      </c>
      <c r="D62" s="1" t="str">
        <f>VLOOKUP(B62,Registration!$B$3:$C$77,2,FALSE)</f>
        <v>Mixed</v>
      </c>
      <c r="F62" s="16" t="e">
        <f>#REF!/11.1</f>
        <v>#REF!</v>
      </c>
    </row>
    <row r="63" spans="1:6" x14ac:dyDescent="0.35">
      <c r="A63" s="1">
        <v>60</v>
      </c>
      <c r="B63">
        <v>41</v>
      </c>
      <c r="C63" s="27">
        <v>0.48883101851851851</v>
      </c>
      <c r="D63" s="1" t="str">
        <f>VLOOKUP(B63,Registration!$B$3:$C$77,2,FALSE)</f>
        <v>Mixed</v>
      </c>
      <c r="F63" s="16" t="e">
        <f>#REF!/11.1</f>
        <v>#REF!</v>
      </c>
    </row>
    <row r="64" spans="1:6" x14ac:dyDescent="0.35">
      <c r="A64" s="1">
        <v>61</v>
      </c>
      <c r="B64">
        <v>14</v>
      </c>
      <c r="C64" s="27">
        <v>0.4924074074074074</v>
      </c>
      <c r="D64" s="1" t="str">
        <f>VLOOKUP(B64,Registration!$B$3:$C$77,2,FALSE)</f>
        <v>Womens</v>
      </c>
      <c r="F64" s="16" t="e">
        <f>#REF!/11.1</f>
        <v>#REF!</v>
      </c>
    </row>
    <row r="65" spans="1:6" x14ac:dyDescent="0.35">
      <c r="A65" s="1">
        <v>62</v>
      </c>
      <c r="B65">
        <v>68</v>
      </c>
      <c r="C65" s="27">
        <v>0.50186342592592592</v>
      </c>
      <c r="D65" s="1" t="str">
        <f>VLOOKUP(B65,Registration!$B$3:$C$77,2,FALSE)</f>
        <v>HS-Girls</v>
      </c>
      <c r="F65" s="16" t="e">
        <f>#REF!/11.1</f>
        <v>#REF!</v>
      </c>
    </row>
    <row r="66" spans="1:6" x14ac:dyDescent="0.35">
      <c r="A66" s="1">
        <v>63</v>
      </c>
      <c r="B66">
        <v>46</v>
      </c>
      <c r="C66" s="27">
        <v>0.50215277777777778</v>
      </c>
      <c r="D66" s="1" t="str">
        <f>VLOOKUP(B66,Registration!$B$3:$C$77,2,FALSE)</f>
        <v>Mixed</v>
      </c>
      <c r="F66" s="16" t="e">
        <f>#REF!/11.1</f>
        <v>#REF!</v>
      </c>
    </row>
    <row r="67" spans="1:6" x14ac:dyDescent="0.35">
      <c r="A67" s="1">
        <v>64</v>
      </c>
      <c r="B67">
        <v>48</v>
      </c>
      <c r="C67" s="27">
        <v>0.51268518518518513</v>
      </c>
      <c r="D67" s="1" t="str">
        <f>VLOOKUP(B67,Registration!$B$3:$C$77,2,FALSE)</f>
        <v>Mixed</v>
      </c>
      <c r="F67" s="16" t="e">
        <f>#REF!/11.1</f>
        <v>#REF!</v>
      </c>
    </row>
    <row r="68" spans="1:6" x14ac:dyDescent="0.35">
      <c r="A68" s="1">
        <v>65</v>
      </c>
      <c r="B68">
        <v>40</v>
      </c>
      <c r="C68" s="27">
        <v>0.52483796296296303</v>
      </c>
      <c r="D68" s="1" t="str">
        <f>VLOOKUP(B68,Registration!$B$3:$C$77,2,FALSE)</f>
        <v>Mixed</v>
      </c>
      <c r="F68" s="16" t="e">
        <f>#REF!/11.1</f>
        <v>#REF!</v>
      </c>
    </row>
    <row r="69" spans="1:6" x14ac:dyDescent="0.35">
      <c r="A69" s="1">
        <v>66</v>
      </c>
      <c r="B69">
        <v>53</v>
      </c>
      <c r="C69" s="27">
        <v>0.54516203703703703</v>
      </c>
      <c r="D69" s="1" t="str">
        <f>VLOOKUP(B69,Registration!$B$3:$C$77,2,FALSE)</f>
        <v>Mixed40+</v>
      </c>
      <c r="F69" s="16" t="e">
        <f>#REF!/11.1</f>
        <v>#REF!</v>
      </c>
    </row>
    <row r="70" spans="1:6" x14ac:dyDescent="0.35">
      <c r="A70" s="1">
        <v>67</v>
      </c>
      <c r="D70" s="1" t="e">
        <f>VLOOKUP(B70,Registration!$B$3:$C$77,2,FALSE)</f>
        <v>#N/A</v>
      </c>
      <c r="F70" s="16" t="e">
        <f>#REF!/11.1</f>
        <v>#REF!</v>
      </c>
    </row>
    <row r="71" spans="1:6" x14ac:dyDescent="0.35">
      <c r="A71" s="1">
        <v>68</v>
      </c>
      <c r="D71" s="1" t="e">
        <f>VLOOKUP(B71,Registration!$B$3:$C$77,2,FALSE)</f>
        <v>#N/A</v>
      </c>
      <c r="F71" s="16" t="e">
        <f>#REF!/11.1</f>
        <v>#REF!</v>
      </c>
    </row>
    <row r="72" spans="1:6" x14ac:dyDescent="0.35">
      <c r="A72" s="1">
        <v>69</v>
      </c>
      <c r="D72" s="1" t="e">
        <f>VLOOKUP(B72,Registration!$B$3:$C$77,2,FALSE)</f>
        <v>#N/A</v>
      </c>
      <c r="F72" s="16" t="e">
        <f>#REF!/11.1</f>
        <v>#REF!</v>
      </c>
    </row>
    <row r="73" spans="1:6" x14ac:dyDescent="0.35">
      <c r="A73" s="1">
        <v>70</v>
      </c>
      <c r="D73" s="1" t="e">
        <f>VLOOKUP(B73,Registration!$B$3:$C$77,2,FALSE)</f>
        <v>#N/A</v>
      </c>
      <c r="F73" s="16" t="e">
        <f>#REF!/11.1</f>
        <v>#REF!</v>
      </c>
    </row>
    <row r="74" spans="1:6" x14ac:dyDescent="0.35">
      <c r="A74" s="1">
        <v>71</v>
      </c>
      <c r="D74" s="1" t="e">
        <f>VLOOKUP(B74,Registration!$B$3:$C$77,2,FALSE)</f>
        <v>#N/A</v>
      </c>
      <c r="F74" s="16" t="e">
        <f>#REF!/11.1</f>
        <v>#REF!</v>
      </c>
    </row>
    <row r="75" spans="1:6" x14ac:dyDescent="0.35">
      <c r="A75" s="1">
        <v>72</v>
      </c>
      <c r="D75" s="1" t="e">
        <f>VLOOKUP(B75,Registration!$B$3:$C$77,2,FALSE)</f>
        <v>#N/A</v>
      </c>
      <c r="F75" s="16" t="e">
        <f>#REF!/11.1</f>
        <v>#REF!</v>
      </c>
    </row>
    <row r="76" spans="1:6" x14ac:dyDescent="0.35">
      <c r="A76" s="1">
        <v>73</v>
      </c>
      <c r="D76" s="1" t="e">
        <f>VLOOKUP(B76,Registration!$B$3:$C$77,2,FALSE)</f>
        <v>#N/A</v>
      </c>
      <c r="F76" s="16" t="e">
        <f>#REF!/11.1</f>
        <v>#REF!</v>
      </c>
    </row>
    <row r="77" spans="1:6" x14ac:dyDescent="0.35">
      <c r="A77" s="1">
        <v>74</v>
      </c>
      <c r="D77" s="1" t="e">
        <f>VLOOKUP(B77,Registration!$B$3:$C$77,2,FALSE)</f>
        <v>#N/A</v>
      </c>
      <c r="F77" s="16" t="e">
        <f>#REF!/11.1</f>
        <v>#REF!</v>
      </c>
    </row>
    <row r="78" spans="1:6" x14ac:dyDescent="0.35">
      <c r="A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Registration</vt:lpstr>
      <vt:lpstr>Totals Sorted</vt:lpstr>
      <vt:lpstr>Div Sorted Results</vt:lpstr>
      <vt:lpstr>Leg 1</vt:lpstr>
      <vt:lpstr>leg 2</vt:lpstr>
      <vt:lpstr>Leg 3</vt:lpstr>
      <vt:lpstr>Leg 4</vt:lpstr>
      <vt:lpstr>Leg 5</vt:lpstr>
      <vt:lpstr>Leg 6</vt:lpstr>
      <vt:lpstr>Leg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</dc:creator>
  <cp:lastModifiedBy>Sean Sweeney</cp:lastModifiedBy>
  <cp:lastPrinted>2018-06-13T18:06:22Z</cp:lastPrinted>
  <dcterms:created xsi:type="dcterms:W3CDTF">2017-05-31T18:17:02Z</dcterms:created>
  <dcterms:modified xsi:type="dcterms:W3CDTF">2018-06-13T18:19:15Z</dcterms:modified>
</cp:coreProperties>
</file>